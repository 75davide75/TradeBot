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tart Here" sheetId="2" state="visible" r:id="rId4"/>
    <sheet name="Settings" sheetId="3" state="visible" r:id="rId5"/>
    <sheet name="Income" sheetId="4" state="visible" r:id="rId6"/>
    <sheet name="Expenses" sheetId="5" state="visible" r:id="rId7"/>
    <sheet name="Monthly Summary" sheetId="6" state="visible" r:id="rId8"/>
    <sheet name="Clien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<sst xmlns="http://schemas.openxmlformats.org/spreadsheetml/2006/main" count="124" uniqueCount="112">
  <si>
    <t xml:space="preserve">  Dashboard</t>
  </si>
  <si>
    <t xml:space="preserve">Everything on this sheet is calculated. Enter your data in Income and Expenses.</t>
  </si>
  <si>
    <t xml:space="preserve">Total invoiced</t>
  </si>
  <si>
    <t xml:space="preserve">Unpaid invoices</t>
  </si>
  <si>
    <t xml:space="preserve">Total received</t>
  </si>
  <si>
    <t xml:space="preserve">Amount outstanding</t>
  </si>
  <si>
    <t xml:space="preserve">Outstanding</t>
  </si>
  <si>
    <t xml:space="preserve">Active clients</t>
  </si>
  <si>
    <t xml:space="preserve">Total expenses</t>
  </si>
  <si>
    <t xml:space="preserve">Profit</t>
  </si>
  <si>
    <t xml:space="preserve">Tax set-aside</t>
  </si>
  <si>
    <t xml:space="preserve">Net after tax</t>
  </si>
  <si>
    <t xml:space="preserve">Profit margin</t>
  </si>
  <si>
    <t xml:space="preserve">Expenses by category</t>
  </si>
  <si>
    <t xml:space="preserve">  Freelancer Finance Tracker</t>
  </si>
  <si>
    <t xml:space="preserve">HOW THIS WORKBOOK WORKS</t>
  </si>
  <si>
    <t xml:space="preserve">You only ever type in three sheets. Everything else calculates itself.</t>
  </si>
  <si>
    <t xml:space="preserve">1.  Settings</t>
  </si>
  <si>
    <t xml:space="preserve">Set your tax rate and edit the category lists. Do this once.</t>
  </si>
  <si>
    <t xml:space="preserve">2.  Income</t>
  </si>
  <si>
    <t xml:space="preserve">Log every invoice. One row per invoice.</t>
  </si>
  <si>
    <t xml:space="preserve">3.  Expenses</t>
  </si>
  <si>
    <t xml:space="preserve">Log every business expense. One row per expense.</t>
  </si>
  <si>
    <t xml:space="preserve">Dashboard</t>
  </si>
  <si>
    <t xml:space="preserve">Reads automatically. Never type here.</t>
  </si>
  <si>
    <t xml:space="preserve">Monthly Summary</t>
  </si>
  <si>
    <t xml:space="preserve">Clients</t>
  </si>
  <si>
    <t xml:space="preserve">Reads automatically. Shows which clients are actually worth it.</t>
  </si>
  <si>
    <t xml:space="preserve">COLOUR KEY</t>
  </si>
  <si>
    <t xml:space="preserve">Yellow cells are for you to fill in.</t>
  </si>
  <si>
    <t xml:space="preserve">White cells contain formulas. Typing over one breaks it.</t>
  </si>
  <si>
    <t xml:space="preserve">BEFORE YOU START</t>
  </si>
  <si>
    <t xml:space="preserve">Each log sheet has one example row so you can see the expected format.</t>
  </si>
  <si>
    <t xml:space="preserve">Delete it once you have entered your own data.</t>
  </si>
  <si>
    <t xml:space="preserve">A NOTE ON TAX</t>
  </si>
  <si>
    <t xml:space="preserve">The tax set-aside is a planning estimate based on the rate you enter.</t>
  </si>
  <si>
    <t xml:space="preserve">It is not tax advice and does not replace an accountant.</t>
  </si>
  <si>
    <t xml:space="preserve">  Settings</t>
  </si>
  <si>
    <t xml:space="preserve">Set these once</t>
  </si>
  <si>
    <t xml:space="preserve">Tax set-aside rate</t>
  </si>
  <si>
    <t xml:space="preserve">Percentage of profit to reserve for tax. Ask your accountant.</t>
  </si>
  <si>
    <t xml:space="preserve">Business name</t>
  </si>
  <si>
    <t xml:space="preserve">Your Business</t>
  </si>
  <si>
    <t xml:space="preserve">Currency symbol shown</t>
  </si>
  <si>
    <t xml:space="preserve">$</t>
  </si>
  <si>
    <t xml:space="preserve">Cosmetic only. Change cell formats to switch currency fully.</t>
  </si>
  <si>
    <t xml:space="preserve">Income categories</t>
  </si>
  <si>
    <t xml:space="preserve">Expense categories</t>
  </si>
  <si>
    <t xml:space="preserve">Client work</t>
  </si>
  <si>
    <t xml:space="preserve">Software</t>
  </si>
  <si>
    <t xml:space="preserve">Retainer</t>
  </si>
  <si>
    <t xml:space="preserve">Hardware</t>
  </si>
  <si>
    <t xml:space="preserve">Consulting</t>
  </si>
  <si>
    <t xml:space="preserve">Subcontractors</t>
  </si>
  <si>
    <t xml:space="preserve">Royalties</t>
  </si>
  <si>
    <t xml:space="preserve">Marketing</t>
  </si>
  <si>
    <t xml:space="preserve">Teaching</t>
  </si>
  <si>
    <t xml:space="preserve">Travel</t>
  </si>
  <si>
    <t xml:space="preserve">Affiliate</t>
  </si>
  <si>
    <t xml:space="preserve">Office</t>
  </si>
  <si>
    <t xml:space="preserve">Other</t>
  </si>
  <si>
    <t xml:space="preserve">Professional fees</t>
  </si>
  <si>
    <t xml:space="preserve">Training</t>
  </si>
  <si>
    <t xml:space="preserve">Insurance</t>
  </si>
  <si>
    <t xml:space="preserve">Bank fees</t>
  </si>
  <si>
    <t xml:space="preserve">  Income  —  one row per invoice</t>
  </si>
  <si>
    <t xml:space="preserve">Yellow = type here.  Leave 'Date paid' empty until the invoice is actually paid.</t>
  </si>
  <si>
    <t xml:space="preserve">Date issued</t>
  </si>
  <si>
    <t xml:space="preserve">Client</t>
  </si>
  <si>
    <t xml:space="preserve">Description</t>
  </si>
  <si>
    <t xml:space="preserve">Category</t>
  </si>
  <si>
    <t xml:space="preserve">Amount</t>
  </si>
  <si>
    <t xml:space="preserve">Date paid</t>
  </si>
  <si>
    <t xml:space="preserve">Status</t>
  </si>
  <si>
    <t xml:space="preserve">2026-01-15</t>
  </si>
  <si>
    <t xml:space="preserve">Acme Ltd</t>
  </si>
  <si>
    <t xml:space="preserve">Website redesign — phase 1</t>
  </si>
  <si>
    <t xml:space="preserve">2026-02-02</t>
  </si>
  <si>
    <t xml:space="preserve">  Expenses  —  one row per expense</t>
  </si>
  <si>
    <t xml:space="preserve">Yellow = type here.  Mark 'Deductible' as Yes or No.</t>
  </si>
  <si>
    <t xml:space="preserve">Date</t>
  </si>
  <si>
    <t xml:space="preserve">Supplier</t>
  </si>
  <si>
    <t xml:space="preserve">Deductible</t>
  </si>
  <si>
    <t xml:space="preserve">2026-01-08</t>
  </si>
  <si>
    <t xml:space="preserve">Adobe</t>
  </si>
  <si>
    <t xml:space="preserve">Creative Cloud subscription</t>
  </si>
  <si>
    <t xml:space="preserve">Yes</t>
  </si>
  <si>
    <t xml:space="preserve">  Monthly Summary  —  calculated automatically</t>
  </si>
  <si>
    <t xml:space="preserve">Every figure here is a formula. Do not type in this sheet.</t>
  </si>
  <si>
    <t xml:space="preserve">Month</t>
  </si>
  <si>
    <t xml:space="preserve">Income invoiced</t>
  </si>
  <si>
    <t xml:space="preserve">Income received</t>
  </si>
  <si>
    <t xml:space="preserve">Expenses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</si>
  <si>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</si>
  <si>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</si>
  <si>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</si>
  <si>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</si>
  <si>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</si>
  <si>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</si>
  <si>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</si>
  <si>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</si>
  <si>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</si>
  <si>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</si>
  <si>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</si>
  <si>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</si>
  <si>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TOTAL</t>
  </si>
  <si>
    <t xml:space="preserve">  Clients  —  who is actually worth your time</t>
  </si>
  <si>
    <t xml:space="preserve">Type a client name in column A exactly as written in the Income sheet. The rest calculates.</t>
  </si>
  <si>
    <t xml:space="preserve">Invoiced</t>
  </si>
  <si>
    <t xml:space="preserve">Received</t>
  </si>
  <si>
    <t xml:space="preserve">Invoices</t>
  </si>
  <si>
    <t xml:space="preserve">% of total income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</si>
</sst>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$0.00"/>
    <numFmt numFmtId="166" formatCode="0.0%"/>
    <numFmt numFmtId="167" formatCode="\$#,##0;&quot;($&quot;#,##0\);\$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375623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0"/>
      <charset val="1"/>
    </font>
    <font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E5C8A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2E5C8A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C00000"/>
        <sz val="12"/>
      </font>
    </dxf>
    <dxf>
      <font>
        <name val="Arial"/>
        <charset val="1"/>
        <family val="0"/>
        <b val="1"/>
        <color rgb="FF375623"/>
        <sz val="10"/>
      </font>
    </dxf>
    <dxf>
      <font>
        <name val="Arial"/>
        <charset val="1"/>
        <family val="0"/>
        <b val="1"/>
        <color rgb="FFC0000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878787"/>
      <rgbColor rgb="FF1F3864"/>
      <rgbColor rgb="FF339966"/>
      <rgbColor rgb="FF003300"/>
      <rgbColor rgb="FF333300"/>
      <rgbColor rgb="FF993300"/>
      <rgbColor rgb="FF993366"/>
      <rgbColor rgb="FF2E5C8A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Expenses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Dashboard!$A$16:$A$26</c:f>
              <c:strCache>
                <c:ptCount val="11"/>
                <c:pt idx="0">
                  <c:v>Software</c:v>
                </c:pt>
                <c:pt idx="1">
                  <c:v>Hardware</c:v>
                </c:pt>
                <c:pt idx="2">
                  <c:v>Subcontractors</c:v>
                </c:pt>
                <c:pt idx="3">
                  <c:v>Marketing</c:v>
                </c:pt>
                <c:pt idx="4">
                  <c:v>Travel</c:v>
                </c:pt>
                <c:pt idx="5">
                  <c:v>Office</c:v>
                </c:pt>
                <c:pt idx="6">
                  <c:v>Professional fees</c:v>
                </c:pt>
                <c:pt idx="7">
                  <c:v>Training</c:v>
                </c:pt>
                <c:pt idx="8">
                  <c:v>Insurance</c:v>
                </c:pt>
                <c:pt idx="9">
                  <c:v>Bank fees</c:v>
                </c:pt>
                <c:pt idx="10">
                  <c:v>Other</c:v>
                </c:pt>
              </c:strCache>
            </c:strRef>
          </c:cat>
          <c:val>
            <c:numRef>
              <c:f>Dashboard!$B$16:$B$26</c:f>
              <c:numCache>
                <c:formatCode>\$#,##0;"($"#,##0\);\$0</c:formatCode>
                <c:ptCount val="11"/>
                <c:pt idx="0">
                  <c:v>59.99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gapWidth val="150"/>
        <c:overlap val="0"/>
        <c:axId val="9046319"/>
        <c:axId val="71426524"/>
      </c:barChart>
      <c:catAx>
        <c:axId val="904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426524"/>
        <c:crosses val="autoZero"/>
        <c:auto val="1"/>
        <c:lblAlgn val="ctr"/>
        <c:lblOffset val="100"/>
        <c:noMultiLvlLbl val="0"/>
      </c:catAx>
      <c:valAx>
        <c:axId val="714265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$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463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Profit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Summary'!E3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Summary'!$A$4:$A$15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'Monthly Summary'!$E$4:$E$15</c:f>
              <c:numCache>
                <c:formatCode>\$#,##0;"($"#,##0\);\$0</c:formatCode>
                <c:ptCount val="12"/>
                <c:pt idx="0">
                  <c:v>1440.01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95325"/>
        <c:axId val="8554462"/>
      </c:lineChart>
      <c:catAx>
        <c:axId val="51953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54462"/>
        <c:crosses val="autoZero"/>
        <c:auto val="1"/>
        <c:lblAlgn val="ctr"/>
        <c:lblOffset val="100"/>
        <c:noMultiLvlLbl val="0"/>
      </c:catAx>
      <c:valAx>
        <c:axId val="85544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$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9532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14</xdr:row>
      <xdr:rowOff>0</xdr:rowOff>
    </xdr:from>
    <xdr:to>
      <xdr:col>9</xdr:col>
      <xdr:colOff>56160</xdr:colOff>
      <xdr:row>31</xdr:row>
      <xdr:rowOff>1440</xdr:rowOff>
    </xdr:to>
    <xdr:graphicFrame>
      <xdr:nvGraphicFramePr>
        <xdr:cNvPr id="1" name="Chart 1"/>
        <xdr:cNvGraphicFramePr/>
      </xdr:nvGraphicFramePr>
      <xdr:xfrm>
        <a:off x="3430800" y="35434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19</xdr:col>
      <xdr:colOff>473040</xdr:colOff>
      <xdr:row>16</xdr:row>
      <xdr:rowOff>79560</xdr:rowOff>
    </xdr:to>
    <xdr:graphicFrame>
      <xdr:nvGraphicFramePr>
        <xdr:cNvPr id="2" name="Chart 1"/>
        <xdr:cNvGraphicFramePr/>
      </xdr:nvGraphicFramePr>
      <xdr:xfrm>
        <a:off x="8294400" y="5716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4" style="0" width="22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</row>
    <row r="5" customFormat="false" ht="21.75" hidden="false" customHeight="true" outlineLevel="0" collapsed="false">
      <c r="A5" s="3" t="s">
        <v>2</v>
      </c>
      <c r="B5" s="4" t="n">
        <f aca="false">SUM(Income!E4:E303)</f>
        <v>1500</v>
      </c>
      <c r="D5" s="3" t="s">
        <v>3</v>
      </c>
      <c r="E5" s="5" t="n">
        <f aca="false">COUNTIF(Income!G4:G303,"Unpaid")</f>
        <v>0</v>
      </c>
    </row>
    <row r="6" customFormat="false" ht="21.75" hidden="false" customHeight="true" outlineLevel="0" collapsed="false">
      <c r="A6" s="3" t="s">
        <v>4</v>
      </c>
      <c r="B6" s="4" t="n">
        <f aca="false">SUMPRODUCT((Income!$F$4:$F$303&lt;&gt;"")*Income!$E$4:$E$303)</f>
        <v>1500</v>
      </c>
      <c r="D6" s="3" t="s">
        <v>5</v>
      </c>
      <c r="E6" s="4" t="n">
        <f aca="false">B7</f>
        <v>0</v>
      </c>
    </row>
    <row r="7" customFormat="false" ht="21.75" hidden="false" customHeight="true" outlineLevel="0" collapsed="false">
      <c r="A7" s="3" t="s">
        <v>6</v>
      </c>
      <c r="B7" s="4" t="n">
        <f aca="false">B5-B6</f>
        <v>0</v>
      </c>
      <c r="D7" s="3" t="s">
        <v>7</v>
      </c>
      <c r="E7" s="5" t="n">
        <f aca="false">SUMPRODUCT((Income!$B$4:$B$303&lt;&gt;"")/COUNTIF(Income!$B$4:$B$303,Income!$B$4:$B$303&amp;""))</f>
        <v>1</v>
      </c>
    </row>
    <row r="8" customFormat="false" ht="21.75" hidden="false" customHeight="true" outlineLevel="0" collapsed="false">
      <c r="A8" s="3" t="s">
        <v>8</v>
      </c>
      <c r="B8" s="4" t="n">
        <f aca="false">SUM(Expenses!E4:E303)</f>
        <v>59.99</v>
      </c>
    </row>
    <row r="9" customFormat="false" ht="21.75" hidden="false" customHeight="true" outlineLevel="0" collapsed="false">
      <c r="A9" s="3" t="s">
        <v>9</v>
      </c>
      <c r="B9" s="6" t="n">
        <f aca="false">B5-B8</f>
        <v>1440.01</v>
      </c>
    </row>
    <row r="10" customFormat="false" ht="21.75" hidden="false" customHeight="true" outlineLevel="0" collapsed="false">
      <c r="A10" s="3" t="s">
        <v>10</v>
      </c>
      <c r="B10" s="4" t="n">
        <f aca="false">IF(B9&gt;0,B9*Settings!B5,0)</f>
        <v>360.0025</v>
      </c>
    </row>
    <row r="11" customFormat="false" ht="21.75" hidden="false" customHeight="true" outlineLevel="0" collapsed="false">
      <c r="A11" s="3" t="s">
        <v>11</v>
      </c>
      <c r="B11" s="4" t="n">
        <f aca="false">B9-B10</f>
        <v>1080.0075</v>
      </c>
    </row>
    <row r="12" customFormat="false" ht="21.75" hidden="false" customHeight="true" outlineLevel="0" collapsed="false">
      <c r="A12" s="3" t="s">
        <v>12</v>
      </c>
      <c r="B12" s="7" t="n">
        <f aca="false">IFERROR(B9/B5,0)</f>
        <v>0.960006666666667</v>
      </c>
    </row>
    <row r="15" customFormat="false" ht="15" hidden="false" customHeight="false" outlineLevel="0" collapsed="false">
      <c r="A15" s="8" t="s">
        <v>13</v>
      </c>
    </row>
    <row r="16" customFormat="false" ht="15" hidden="false" customHeight="false" outlineLevel="0" collapsed="false">
      <c r="A16" s="9" t="str">
        <f aca="false">IF(Settings!C11="","",Settings!C11)</f>
        <v>Software</v>
      </c>
      <c r="B16" s="10" t="n">
        <f aca="false">IF($A16="","",SUMIF(Expenses!$D$4:$D$303,$A16,Expenses!$E$4:$E$303))</f>
        <v>59.99</v>
      </c>
    </row>
    <row r="17" customFormat="false" ht="15" hidden="false" customHeight="false" outlineLevel="0" collapsed="false">
      <c r="A17" s="9" t="str">
        <f aca="false">IF(Settings!C12="","",Settings!C12)</f>
        <v>Hardware</v>
      </c>
      <c r="B17" s="10" t="n">
        <f aca="false">IF($A17="","",SUMIF(Expenses!$D$4:$D$303,$A17,Expenses!$E$4:$E$303))</f>
        <v>0</v>
      </c>
    </row>
    <row r="18" customFormat="false" ht="15" hidden="false" customHeight="false" outlineLevel="0" collapsed="false">
      <c r="A18" s="9" t="str">
        <f aca="false">IF(Settings!C13="","",Settings!C13)</f>
        <v>Subcontractors</v>
      </c>
      <c r="B18" s="10" t="n">
        <f aca="false">IF($A18="","",SUMIF(Expenses!$D$4:$D$303,$A18,Expenses!$E$4:$E$303))</f>
        <v>0</v>
      </c>
    </row>
    <row r="19" customFormat="false" ht="15" hidden="false" customHeight="false" outlineLevel="0" collapsed="false">
      <c r="A19" s="9" t="str">
        <f aca="false">IF(Settings!C14="","",Settings!C14)</f>
        <v>Marketing</v>
      </c>
      <c r="B19" s="10" t="n">
        <f aca="false">IF($A19="","",SUMIF(Expenses!$D$4:$D$303,$A19,Expenses!$E$4:$E$303))</f>
        <v>0</v>
      </c>
    </row>
    <row r="20" customFormat="false" ht="15" hidden="false" customHeight="false" outlineLevel="0" collapsed="false">
      <c r="A20" s="9" t="str">
        <f aca="false">IF(Settings!C15="","",Settings!C15)</f>
        <v>Travel</v>
      </c>
      <c r="B20" s="10" t="n">
        <f aca="false">IF($A20="","",SUMIF(Expenses!$D$4:$D$303,$A20,Expenses!$E$4:$E$303))</f>
        <v>0</v>
      </c>
    </row>
    <row r="21" customFormat="false" ht="15" hidden="false" customHeight="false" outlineLevel="0" collapsed="false">
      <c r="A21" s="9" t="str">
        <f aca="false">IF(Settings!C16="","",Settings!C16)</f>
        <v>Office</v>
      </c>
      <c r="B21" s="10" t="n">
        <f aca="false">IF($A21="","",SUMIF(Expenses!$D$4:$D$303,$A21,Expenses!$E$4:$E$303))</f>
        <v>0</v>
      </c>
    </row>
    <row r="22" customFormat="false" ht="15" hidden="false" customHeight="false" outlineLevel="0" collapsed="false">
      <c r="A22" s="9" t="str">
        <f aca="false">IF(Settings!C17="","",Settings!C17)</f>
        <v>Professional fees</v>
      </c>
      <c r="B22" s="10" t="n">
        <f aca="false">IF($A22="","",SUMIF(Expenses!$D$4:$D$303,$A22,Expenses!$E$4:$E$303))</f>
        <v>0</v>
      </c>
    </row>
    <row r="23" customFormat="false" ht="15" hidden="false" customHeight="false" outlineLevel="0" collapsed="false">
      <c r="A23" s="9" t="str">
        <f aca="false">IF(Settings!C18="","",Settings!C18)</f>
        <v>Training</v>
      </c>
      <c r="B23" s="10" t="n">
        <f aca="false">IF($A23="","",SUMIF(Expenses!$D$4:$D$303,$A23,Expenses!$E$4:$E$303))</f>
        <v>0</v>
      </c>
    </row>
    <row r="24" customFormat="false" ht="15" hidden="false" customHeight="false" outlineLevel="0" collapsed="false">
      <c r="A24" s="9" t="str">
        <f aca="false">IF(Settings!C19="","",Settings!C19)</f>
        <v>Insurance</v>
      </c>
      <c r="B24" s="10" t="n">
        <f aca="false">IF($A24="","",SUMIF(Expenses!$D$4:$D$303,$A24,Expenses!$E$4:$E$303))</f>
        <v>0</v>
      </c>
    </row>
    <row r="25" customFormat="false" ht="15" hidden="false" customHeight="false" outlineLevel="0" collapsed="false">
      <c r="A25" s="9" t="str">
        <f aca="false">IF(Settings!C20="","",Settings!C20)</f>
        <v>Bank fees</v>
      </c>
      <c r="B25" s="10" t="n">
        <f aca="false">IF($A25="","",SUMIF(Expenses!$D$4:$D$303,$A25,Expenses!$E$4:$E$303))</f>
        <v>0</v>
      </c>
    </row>
    <row r="26" customFormat="false" ht="15" hidden="false" customHeight="false" outlineLevel="0" collapsed="false">
      <c r="A26" s="9" t="str">
        <f aca="false">IF(Settings!C21="","",Settings!C21)</f>
        <v>Other</v>
      </c>
      <c r="B26" s="10" t="n">
        <f aca="false">IF($A26="","",SUMIF(Expenses!$D$4:$D$303,$A26,Expenses!$E$4:$E$303))</f>
        <v>0</v>
      </c>
    </row>
  </sheetData>
  <mergeCells count="1">
    <mergeCell ref="A1:H1"/>
  </mergeCells>
  <conditionalFormatting sqref="B9">
    <cfRule type="cellIs" priority="2" operator="lessThan" aboveAverage="0" equalAverage="0" bottom="0" percent="0" rank="0" text="" dxfId="0">
      <formula>0</formula>
    </cfRule>
  </conditionalFormatting>
  <conditionalFormatting sqref="B16:B26">
    <cfRule type="dataBar" priority="3">
      <dataBar showValue="1" minLength="10" maxLength="90">
        <cfvo type="min" val="0"/>
        <cfvo type="max" val="0"/>
        <color rgb="FF2E5C8A"/>
      </dataBar>
      <extLst>
        <ext xmlns:x14="http://schemas.microsoft.com/office/spreadsheetml/2009/9/main" uri="{B025F937-C7B1-47D3-B67F-A62EFF666E3E}">
          <x14:id>{7CF5A71D-51E0-489A-A72D-F8FFFD891B72}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F5A71D-51E0-489A-A72D-F8FFFD891B72}">
            <x14:dataBar minLength="10" maxLength="90" axisPosition="none" gradient="true">
              <x14:cfvo type="min"/>
              <x14:cfvo type="max"/>
              <x14:negativeFillColor rgb="FF2E5C8A"/>
              <x14:axisColor rgb="FF000000"/>
            </x14:dataBar>
          </x14:cfRule>
          <xm:sqref>B16:B26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2"/>
  </cols>
  <sheetData>
    <row r="1" customFormat="false" ht="30" hidden="false" customHeight="true" outlineLevel="0" collapsed="false">
      <c r="A1" s="1" t="s">
        <v>14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1"/>
      <c r="B3" s="12"/>
    </row>
    <row r="4" customFormat="false" ht="15" hidden="false" customHeight="false" outlineLevel="0" collapsed="false">
      <c r="A4" s="13" t="s">
        <v>15</v>
      </c>
      <c r="B4" s="12"/>
    </row>
    <row r="5" customFormat="false" ht="15" hidden="false" customHeight="false" outlineLevel="0" collapsed="false">
      <c r="A5" s="11"/>
      <c r="B5" s="12" t="s">
        <v>16</v>
      </c>
    </row>
    <row r="6" customFormat="false" ht="15" hidden="false" customHeight="false" outlineLevel="0" collapsed="false">
      <c r="A6" s="11"/>
      <c r="B6" s="12"/>
    </row>
    <row r="7" customFormat="false" ht="15" hidden="false" customHeight="false" outlineLevel="0" collapsed="false">
      <c r="A7" s="14" t="s">
        <v>17</v>
      </c>
      <c r="B7" s="12" t="s">
        <v>18</v>
      </c>
    </row>
    <row r="8" customFormat="false" ht="15" hidden="false" customHeight="false" outlineLevel="0" collapsed="false">
      <c r="A8" s="14" t="s">
        <v>19</v>
      </c>
      <c r="B8" s="12" t="s">
        <v>20</v>
      </c>
    </row>
    <row r="9" customFormat="false" ht="15" hidden="false" customHeight="false" outlineLevel="0" collapsed="false">
      <c r="A9" s="14" t="s">
        <v>21</v>
      </c>
      <c r="B9" s="12" t="s">
        <v>22</v>
      </c>
    </row>
    <row r="10" customFormat="false" ht="15" hidden="false" customHeight="false" outlineLevel="0" collapsed="false">
      <c r="A10" s="11"/>
      <c r="B10" s="12"/>
    </row>
    <row r="11" customFormat="false" ht="15" hidden="false" customHeight="false" outlineLevel="0" collapsed="false">
      <c r="A11" s="14" t="s">
        <v>23</v>
      </c>
      <c r="B11" s="12" t="s">
        <v>24</v>
      </c>
    </row>
    <row r="12" customFormat="false" ht="15" hidden="false" customHeight="false" outlineLevel="0" collapsed="false">
      <c r="A12" s="14" t="s">
        <v>25</v>
      </c>
      <c r="B12" s="12" t="s">
        <v>24</v>
      </c>
    </row>
    <row r="13" customFormat="false" ht="15" hidden="false" customHeight="false" outlineLevel="0" collapsed="false">
      <c r="A13" s="14" t="s">
        <v>26</v>
      </c>
      <c r="B13" s="12" t="s">
        <v>27</v>
      </c>
    </row>
    <row r="14" customFormat="false" ht="15" hidden="false" customHeight="false" outlineLevel="0" collapsed="false">
      <c r="A14" s="11"/>
      <c r="B14" s="12"/>
    </row>
    <row r="15" customFormat="false" ht="15" hidden="false" customHeight="false" outlineLevel="0" collapsed="false">
      <c r="A15" s="13" t="s">
        <v>28</v>
      </c>
      <c r="B15" s="12"/>
    </row>
    <row r="16" customFormat="false" ht="15" hidden="false" customHeight="false" outlineLevel="0" collapsed="false">
      <c r="A16" s="11"/>
      <c r="B16" s="15" t="s">
        <v>29</v>
      </c>
    </row>
    <row r="17" customFormat="false" ht="15" hidden="false" customHeight="false" outlineLevel="0" collapsed="false">
      <c r="A17" s="11"/>
      <c r="B17" s="12" t="s">
        <v>30</v>
      </c>
    </row>
    <row r="18" customFormat="false" ht="15" hidden="false" customHeight="false" outlineLevel="0" collapsed="false">
      <c r="A18" s="11"/>
      <c r="B18" s="12"/>
    </row>
    <row r="19" customFormat="false" ht="15" hidden="false" customHeight="false" outlineLevel="0" collapsed="false">
      <c r="A19" s="13" t="s">
        <v>31</v>
      </c>
      <c r="B19" s="12"/>
    </row>
    <row r="20" customFormat="false" ht="15" hidden="false" customHeight="false" outlineLevel="0" collapsed="false">
      <c r="A20" s="11"/>
      <c r="B20" s="12" t="s">
        <v>32</v>
      </c>
    </row>
    <row r="21" customFormat="false" ht="15" hidden="false" customHeight="false" outlineLevel="0" collapsed="false">
      <c r="A21" s="11"/>
      <c r="B21" s="12" t="s">
        <v>33</v>
      </c>
    </row>
    <row r="22" customFormat="false" ht="15" hidden="false" customHeight="false" outlineLevel="0" collapsed="false">
      <c r="A22" s="11"/>
      <c r="B22" s="12"/>
    </row>
    <row r="23" customFormat="false" ht="15" hidden="false" customHeight="false" outlineLevel="0" collapsed="false">
      <c r="A23" s="13" t="s">
        <v>34</v>
      </c>
      <c r="B23" s="12"/>
    </row>
    <row r="24" customFormat="false" ht="15" hidden="false" customHeight="false" outlineLevel="0" collapsed="false">
      <c r="A24" s="11"/>
      <c r="B24" s="12" t="s">
        <v>35</v>
      </c>
    </row>
    <row r="25" customFormat="false" ht="15" hidden="false" customHeight="false" outlineLevel="0" collapsed="false">
      <c r="A25" s="11"/>
      <c r="B25" s="12" t="s">
        <v>36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50"/>
  </cols>
  <sheetData>
    <row r="1" customFormat="false" ht="30" hidden="false" customHeight="true" outlineLevel="0" collapsed="false">
      <c r="A1" s="1" t="s">
        <v>37</v>
      </c>
      <c r="B1" s="1"/>
      <c r="C1" s="1"/>
      <c r="D1" s="1"/>
    </row>
    <row r="3" customFormat="false" ht="15" hidden="false" customHeight="false" outlineLevel="0" collapsed="false">
      <c r="A3" s="8" t="s">
        <v>38</v>
      </c>
    </row>
    <row r="5" customFormat="false" ht="15" hidden="false" customHeight="false" outlineLevel="0" collapsed="false">
      <c r="A5" s="16" t="s">
        <v>39</v>
      </c>
      <c r="B5" s="17" t="n">
        <v>0.25</v>
      </c>
      <c r="C5" s="2" t="s">
        <v>40</v>
      </c>
    </row>
    <row r="6" customFormat="false" ht="15" hidden="false" customHeight="false" outlineLevel="0" collapsed="false">
      <c r="A6" s="16" t="s">
        <v>41</v>
      </c>
      <c r="B6" s="18" t="s">
        <v>42</v>
      </c>
      <c r="C6" s="2"/>
    </row>
    <row r="7" customFormat="false" ht="15" hidden="false" customHeight="false" outlineLevel="0" collapsed="false">
      <c r="A7" s="16" t="s">
        <v>43</v>
      </c>
      <c r="B7" s="18" t="s">
        <v>44</v>
      </c>
      <c r="C7" s="2" t="s">
        <v>45</v>
      </c>
    </row>
    <row r="10" customFormat="false" ht="15" hidden="false" customHeight="false" outlineLevel="0" collapsed="false">
      <c r="A10" s="13" t="s">
        <v>46</v>
      </c>
      <c r="C10" s="13" t="s">
        <v>47</v>
      </c>
    </row>
    <row r="11" customFormat="false" ht="15" hidden="false" customHeight="false" outlineLevel="0" collapsed="false">
      <c r="A11" s="15" t="s">
        <v>48</v>
      </c>
      <c r="C11" s="15" t="s">
        <v>49</v>
      </c>
    </row>
    <row r="12" customFormat="false" ht="15" hidden="false" customHeight="false" outlineLevel="0" collapsed="false">
      <c r="A12" s="15" t="s">
        <v>50</v>
      </c>
      <c r="C12" s="15" t="s">
        <v>51</v>
      </c>
    </row>
    <row r="13" customFormat="false" ht="15" hidden="false" customHeight="false" outlineLevel="0" collapsed="false">
      <c r="A13" s="15" t="s">
        <v>52</v>
      </c>
      <c r="C13" s="15" t="s">
        <v>53</v>
      </c>
    </row>
    <row r="14" customFormat="false" ht="15" hidden="false" customHeight="false" outlineLevel="0" collapsed="false">
      <c r="A14" s="15" t="s">
        <v>54</v>
      </c>
      <c r="C14" s="15" t="s">
        <v>55</v>
      </c>
    </row>
    <row r="15" customFormat="false" ht="15" hidden="false" customHeight="false" outlineLevel="0" collapsed="false">
      <c r="A15" s="15" t="s">
        <v>56</v>
      </c>
      <c r="C15" s="15" t="s">
        <v>57</v>
      </c>
    </row>
    <row r="16" customFormat="false" ht="15" hidden="false" customHeight="false" outlineLevel="0" collapsed="false">
      <c r="A16" s="15" t="s">
        <v>58</v>
      </c>
      <c r="C16" s="15" t="s">
        <v>59</v>
      </c>
    </row>
    <row r="17" customFormat="false" ht="15" hidden="false" customHeight="false" outlineLevel="0" collapsed="false">
      <c r="A17" s="15" t="s">
        <v>60</v>
      </c>
      <c r="C17" s="15" t="s">
        <v>61</v>
      </c>
    </row>
    <row r="18" customFormat="false" ht="15" hidden="false" customHeight="false" outlineLevel="0" collapsed="false">
      <c r="C18" s="15" t="s">
        <v>62</v>
      </c>
    </row>
    <row r="19" customFormat="false" ht="15" hidden="false" customHeight="false" outlineLevel="0" collapsed="false">
      <c r="C19" s="15" t="s">
        <v>63</v>
      </c>
    </row>
    <row r="20" customFormat="false" ht="15" hidden="false" customHeight="false" outlineLevel="0" collapsed="false">
      <c r="C20" s="15" t="s">
        <v>64</v>
      </c>
    </row>
    <row r="21" customFormat="false" ht="15" hidden="false" customHeight="false" outlineLevel="0" collapsed="false">
      <c r="C21" s="15" t="s">
        <v>60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7" min="5" style="0" width="14"/>
  </cols>
  <sheetData>
    <row r="1" customFormat="false" ht="30" hidden="false" customHeight="true" outlineLevel="0" collapsed="false">
      <c r="A1" s="1" t="s">
        <v>65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66</v>
      </c>
    </row>
    <row r="3" customFormat="false" ht="27.75" hidden="false" customHeight="true" outlineLevel="0" collapsed="false">
      <c r="A3" s="19" t="s">
        <v>67</v>
      </c>
      <c r="B3" s="19" t="s">
        <v>68</v>
      </c>
      <c r="C3" s="19" t="s">
        <v>69</v>
      </c>
      <c r="D3" s="19" t="s">
        <v>70</v>
      </c>
      <c r="E3" s="19" t="s">
        <v>71</v>
      </c>
      <c r="F3" s="19" t="s">
        <v>72</v>
      </c>
      <c r="G3" s="19" t="s">
        <v>73</v>
      </c>
    </row>
    <row r="4" customFormat="false" ht="15" hidden="false" customHeight="false" outlineLevel="0" collapsed="false">
      <c r="A4" s="20" t="s">
        <v>74</v>
      </c>
      <c r="B4" s="20" t="s">
        <v>75</v>
      </c>
      <c r="C4" s="20" t="s">
        <v>76</v>
      </c>
      <c r="D4" s="20" t="s">
        <v>48</v>
      </c>
      <c r="E4" s="21" t="n">
        <v>1500</v>
      </c>
      <c r="F4" s="20" t="s">
        <v>77</v>
      </c>
      <c r="G4" s="22" t="str">
        <f aca="false">IF(E4="","",IF(F4="","Unpaid","Paid"))</f>
        <v>Paid</v>
      </c>
    </row>
    <row r="5" customFormat="false" ht="15" hidden="false" customHeight="false" outlineLevel="0" collapsed="false">
      <c r="A5" s="15"/>
      <c r="B5" s="15"/>
      <c r="C5" s="15"/>
      <c r="D5" s="15"/>
      <c r="E5" s="23"/>
      <c r="F5" s="15"/>
      <c r="G5" s="22" t="str">
        <f aca="false">IF(E5="","",IF(F5="","Unpaid","Paid"))</f>
        <v/>
      </c>
    </row>
    <row r="6" customFormat="false" ht="15" hidden="false" customHeight="false" outlineLevel="0" collapsed="false">
      <c r="A6" s="15"/>
      <c r="B6" s="15"/>
      <c r="C6" s="15"/>
      <c r="D6" s="15"/>
      <c r="E6" s="23"/>
      <c r="F6" s="15"/>
      <c r="G6" s="22" t="str">
        <f aca="false">IF(E6="","",IF(F6="","Unpaid","Paid"))</f>
        <v/>
      </c>
    </row>
    <row r="7" customFormat="false" ht="15" hidden="false" customHeight="false" outlineLevel="0" collapsed="false">
      <c r="A7" s="15"/>
      <c r="B7" s="15"/>
      <c r="C7" s="15"/>
      <c r="D7" s="15"/>
      <c r="E7" s="23"/>
      <c r="F7" s="15"/>
      <c r="G7" s="22" t="str">
        <f aca="false">IF(E7="","",IF(F7="","Unpaid","Paid"))</f>
        <v/>
      </c>
    </row>
    <row r="8" customFormat="false" ht="15" hidden="false" customHeight="false" outlineLevel="0" collapsed="false">
      <c r="A8" s="15"/>
      <c r="B8" s="15"/>
      <c r="C8" s="15"/>
      <c r="D8" s="15"/>
      <c r="E8" s="23"/>
      <c r="F8" s="15"/>
      <c r="G8" s="22" t="str">
        <f aca="false">IF(E8="","",IF(F8="","Unpaid","Paid"))</f>
        <v/>
      </c>
    </row>
    <row r="9" customFormat="false" ht="15" hidden="false" customHeight="false" outlineLevel="0" collapsed="false">
      <c r="A9" s="15"/>
      <c r="B9" s="15"/>
      <c r="C9" s="15"/>
      <c r="D9" s="15"/>
      <c r="E9" s="23"/>
      <c r="F9" s="15"/>
      <c r="G9" s="22" t="str">
        <f aca="false">IF(E9="","",IF(F9="","Unpaid","Paid"))</f>
        <v/>
      </c>
    </row>
    <row r="10" customFormat="false" ht="15" hidden="false" customHeight="false" outlineLevel="0" collapsed="false">
      <c r="A10" s="15"/>
      <c r="B10" s="15"/>
      <c r="C10" s="15"/>
      <c r="D10" s="15"/>
      <c r="E10" s="23"/>
      <c r="F10" s="15"/>
      <c r="G10" s="22" t="str">
        <f aca="false">IF(E10="","",IF(F10="","Unpaid","Paid"))</f>
        <v/>
      </c>
    </row>
    <row r="11" customFormat="false" ht="15" hidden="false" customHeight="false" outlineLevel="0" collapsed="false">
      <c r="A11" s="15"/>
      <c r="B11" s="15"/>
      <c r="C11" s="15"/>
      <c r="D11" s="15"/>
      <c r="E11" s="23"/>
      <c r="F11" s="15"/>
      <c r="G11" s="22" t="str">
        <f aca="false">IF(E11="","",IF(F11="","Unpaid","Paid"))</f>
        <v/>
      </c>
    </row>
    <row r="12" customFormat="false" ht="15" hidden="false" customHeight="false" outlineLevel="0" collapsed="false">
      <c r="A12" s="15"/>
      <c r="B12" s="15"/>
      <c r="C12" s="15"/>
      <c r="D12" s="15"/>
      <c r="E12" s="23"/>
      <c r="F12" s="15"/>
      <c r="G12" s="22" t="str">
        <f aca="false">IF(E12="","",IF(F12="","Unpaid","Paid"))</f>
        <v/>
      </c>
    </row>
    <row r="13" customFormat="false" ht="15" hidden="false" customHeight="false" outlineLevel="0" collapsed="false">
      <c r="A13" s="15"/>
      <c r="B13" s="15"/>
      <c r="C13" s="15"/>
      <c r="D13" s="15"/>
      <c r="E13" s="23"/>
      <c r="F13" s="15"/>
      <c r="G13" s="22" t="str">
        <f aca="false">IF(E13="","",IF(F13="","Unpaid","Paid"))</f>
        <v/>
      </c>
    </row>
    <row r="14" customFormat="false" ht="15" hidden="false" customHeight="false" outlineLevel="0" collapsed="false">
      <c r="A14" s="15"/>
      <c r="B14" s="15"/>
      <c r="C14" s="15"/>
      <c r="D14" s="15"/>
      <c r="E14" s="23"/>
      <c r="F14" s="15"/>
      <c r="G14" s="22" t="str">
        <f aca="false">IF(E14="","",IF(F14="","Unpaid","Paid"))</f>
        <v/>
      </c>
    </row>
    <row r="15" customFormat="false" ht="15" hidden="false" customHeight="false" outlineLevel="0" collapsed="false">
      <c r="A15" s="15"/>
      <c r="B15" s="15"/>
      <c r="C15" s="15"/>
      <c r="D15" s="15"/>
      <c r="E15" s="23"/>
      <c r="F15" s="15"/>
      <c r="G15" s="22" t="str">
        <f aca="false">IF(E15="","",IF(F15="","Unpaid","Paid"))</f>
        <v/>
      </c>
    </row>
    <row r="16" customFormat="false" ht="15" hidden="false" customHeight="false" outlineLevel="0" collapsed="false">
      <c r="A16" s="15"/>
      <c r="B16" s="15"/>
      <c r="C16" s="15"/>
      <c r="D16" s="15"/>
      <c r="E16" s="23"/>
      <c r="F16" s="15"/>
      <c r="G16" s="22" t="str">
        <f aca="false">IF(E16="","",IF(F16="","Unpaid","Paid"))</f>
        <v/>
      </c>
    </row>
    <row r="17" customFormat="false" ht="15" hidden="false" customHeight="false" outlineLevel="0" collapsed="false">
      <c r="A17" s="15"/>
      <c r="B17" s="15"/>
      <c r="C17" s="15"/>
      <c r="D17" s="15"/>
      <c r="E17" s="23"/>
      <c r="F17" s="15"/>
      <c r="G17" s="22" t="str">
        <f aca="false">IF(E17="","",IF(F17="","Unpaid","Paid"))</f>
        <v/>
      </c>
    </row>
    <row r="18" customFormat="false" ht="15" hidden="false" customHeight="false" outlineLevel="0" collapsed="false">
      <c r="A18" s="15"/>
      <c r="B18" s="15"/>
      <c r="C18" s="15"/>
      <c r="D18" s="15"/>
      <c r="E18" s="23"/>
      <c r="F18" s="15"/>
      <c r="G18" s="22" t="str">
        <f aca="false">IF(E18="","",IF(F18="","Unpaid","Paid"))</f>
        <v/>
      </c>
    </row>
    <row r="19" customFormat="false" ht="15" hidden="false" customHeight="false" outlineLevel="0" collapsed="false">
      <c r="A19" s="15"/>
      <c r="B19" s="15"/>
      <c r="C19" s="15"/>
      <c r="D19" s="15"/>
      <c r="E19" s="23"/>
      <c r="F19" s="15"/>
      <c r="G19" s="22" t="str">
        <f aca="false">IF(E19="","",IF(F19="","Unpaid","Paid"))</f>
        <v/>
      </c>
    </row>
    <row r="20" customFormat="false" ht="15" hidden="false" customHeight="false" outlineLevel="0" collapsed="false">
      <c r="A20" s="15"/>
      <c r="B20" s="15"/>
      <c r="C20" s="15"/>
      <c r="D20" s="15"/>
      <c r="E20" s="23"/>
      <c r="F20" s="15"/>
      <c r="G20" s="22" t="str">
        <f aca="false">IF(E20="","",IF(F20="","Unpaid","Paid"))</f>
        <v/>
      </c>
    </row>
    <row r="21" customFormat="false" ht="15" hidden="false" customHeight="false" outlineLevel="0" collapsed="false">
      <c r="A21" s="15"/>
      <c r="B21" s="15"/>
      <c r="C21" s="15"/>
      <c r="D21" s="15"/>
      <c r="E21" s="23"/>
      <c r="F21" s="15"/>
      <c r="G21" s="22" t="str">
        <f aca="false">IF(E21="","",IF(F21="","Unpaid","Paid"))</f>
        <v/>
      </c>
    </row>
    <row r="22" customFormat="false" ht="15" hidden="false" customHeight="false" outlineLevel="0" collapsed="false">
      <c r="A22" s="15"/>
      <c r="B22" s="15"/>
      <c r="C22" s="15"/>
      <c r="D22" s="15"/>
      <c r="E22" s="23"/>
      <c r="F22" s="15"/>
      <c r="G22" s="22" t="str">
        <f aca="false">IF(E22="","",IF(F22="","Unpaid","Paid"))</f>
        <v/>
      </c>
    </row>
    <row r="23" customFormat="false" ht="15" hidden="false" customHeight="false" outlineLevel="0" collapsed="false">
      <c r="A23" s="15"/>
      <c r="B23" s="15"/>
      <c r="C23" s="15"/>
      <c r="D23" s="15"/>
      <c r="E23" s="23"/>
      <c r="F23" s="15"/>
      <c r="G23" s="22" t="str">
        <f aca="false">IF(E23="","",IF(F23="","Unpaid","Paid"))</f>
        <v/>
      </c>
    </row>
    <row r="24" customFormat="false" ht="15" hidden="false" customHeight="false" outlineLevel="0" collapsed="false">
      <c r="A24" s="15"/>
      <c r="B24" s="15"/>
      <c r="C24" s="15"/>
      <c r="D24" s="15"/>
      <c r="E24" s="23"/>
      <c r="F24" s="15"/>
      <c r="G24" s="22" t="str">
        <f aca="false">IF(E24="","",IF(F24="","Unpaid","Paid"))</f>
        <v/>
      </c>
    </row>
    <row r="25" customFormat="false" ht="15" hidden="false" customHeight="false" outlineLevel="0" collapsed="false">
      <c r="A25" s="15"/>
      <c r="B25" s="15"/>
      <c r="C25" s="15"/>
      <c r="D25" s="15"/>
      <c r="E25" s="23"/>
      <c r="F25" s="15"/>
      <c r="G25" s="22" t="str">
        <f aca="false">IF(E25="","",IF(F25="","Unpaid","Paid"))</f>
        <v/>
      </c>
    </row>
    <row r="26" customFormat="false" ht="15" hidden="false" customHeight="false" outlineLevel="0" collapsed="false">
      <c r="A26" s="15"/>
      <c r="B26" s="15"/>
      <c r="C26" s="15"/>
      <c r="D26" s="15"/>
      <c r="E26" s="23"/>
      <c r="F26" s="15"/>
      <c r="G26" s="22" t="str">
        <f aca="false">IF(E26="","",IF(F26="","Unpaid","Paid"))</f>
        <v/>
      </c>
    </row>
    <row r="27" customFormat="false" ht="15" hidden="false" customHeight="false" outlineLevel="0" collapsed="false">
      <c r="A27" s="15"/>
      <c r="B27" s="15"/>
      <c r="C27" s="15"/>
      <c r="D27" s="15"/>
      <c r="E27" s="23"/>
      <c r="F27" s="15"/>
      <c r="G27" s="22" t="str">
        <f aca="false">IF(E27="","",IF(F27="","Unpaid","Paid"))</f>
        <v/>
      </c>
    </row>
    <row r="28" customFormat="false" ht="15" hidden="false" customHeight="false" outlineLevel="0" collapsed="false">
      <c r="A28" s="15"/>
      <c r="B28" s="15"/>
      <c r="C28" s="15"/>
      <c r="D28" s="15"/>
      <c r="E28" s="23"/>
      <c r="F28" s="15"/>
      <c r="G28" s="22" t="str">
        <f aca="false">IF(E28="","",IF(F28="","Unpaid","Paid"))</f>
        <v/>
      </c>
    </row>
    <row r="29" customFormat="false" ht="15" hidden="false" customHeight="false" outlineLevel="0" collapsed="false">
      <c r="A29" s="15"/>
      <c r="B29" s="15"/>
      <c r="C29" s="15"/>
      <c r="D29" s="15"/>
      <c r="E29" s="23"/>
      <c r="F29" s="15"/>
      <c r="G29" s="22" t="str">
        <f aca="false">IF(E29="","",IF(F29="","Unpaid","Paid"))</f>
        <v/>
      </c>
    </row>
    <row r="30" customFormat="false" ht="15" hidden="false" customHeight="false" outlineLevel="0" collapsed="false">
      <c r="A30" s="15"/>
      <c r="B30" s="15"/>
      <c r="C30" s="15"/>
      <c r="D30" s="15"/>
      <c r="E30" s="23"/>
      <c r="F30" s="15"/>
      <c r="G30" s="22" t="str">
        <f aca="false">IF(E30="","",IF(F30="","Unpaid","Paid"))</f>
        <v/>
      </c>
    </row>
    <row r="31" customFormat="false" ht="15" hidden="false" customHeight="false" outlineLevel="0" collapsed="false">
      <c r="A31" s="15"/>
      <c r="B31" s="15"/>
      <c r="C31" s="15"/>
      <c r="D31" s="15"/>
      <c r="E31" s="23"/>
      <c r="F31" s="15"/>
      <c r="G31" s="22" t="str">
        <f aca="false">IF(E31="","",IF(F31="","Unpaid","Paid"))</f>
        <v/>
      </c>
    </row>
    <row r="32" customFormat="false" ht="15" hidden="false" customHeight="false" outlineLevel="0" collapsed="false">
      <c r="A32" s="15"/>
      <c r="B32" s="15"/>
      <c r="C32" s="15"/>
      <c r="D32" s="15"/>
      <c r="E32" s="23"/>
      <c r="F32" s="15"/>
      <c r="G32" s="22" t="str">
        <f aca="false">IF(E32="","",IF(F32="","Unpaid","Paid"))</f>
        <v/>
      </c>
    </row>
    <row r="33" customFormat="false" ht="15" hidden="false" customHeight="false" outlineLevel="0" collapsed="false">
      <c r="A33" s="15"/>
      <c r="B33" s="15"/>
      <c r="C33" s="15"/>
      <c r="D33" s="15"/>
      <c r="E33" s="23"/>
      <c r="F33" s="15"/>
      <c r="G33" s="22" t="str">
        <f aca="false">IF(E33="","",IF(F33="","Unpaid","Paid"))</f>
        <v/>
      </c>
    </row>
    <row r="34" customFormat="false" ht="15" hidden="false" customHeight="false" outlineLevel="0" collapsed="false">
      <c r="A34" s="15"/>
      <c r="B34" s="15"/>
      <c r="C34" s="15"/>
      <c r="D34" s="15"/>
      <c r="E34" s="23"/>
      <c r="F34" s="15"/>
      <c r="G34" s="22" t="str">
        <f aca="false">IF(E34="","",IF(F34="","Unpaid","Paid"))</f>
        <v/>
      </c>
    </row>
    <row r="35" customFormat="false" ht="15" hidden="false" customHeight="false" outlineLevel="0" collapsed="false">
      <c r="A35" s="15"/>
      <c r="B35" s="15"/>
      <c r="C35" s="15"/>
      <c r="D35" s="15"/>
      <c r="E35" s="23"/>
      <c r="F35" s="15"/>
      <c r="G35" s="22" t="str">
        <f aca="false">IF(E35="","",IF(F35="","Unpaid","Paid"))</f>
        <v/>
      </c>
    </row>
    <row r="36" customFormat="false" ht="15" hidden="false" customHeight="false" outlineLevel="0" collapsed="false">
      <c r="A36" s="15"/>
      <c r="B36" s="15"/>
      <c r="C36" s="15"/>
      <c r="D36" s="15"/>
      <c r="E36" s="23"/>
      <c r="F36" s="15"/>
      <c r="G36" s="22" t="str">
        <f aca="false">IF(E36="","",IF(F36="","Unpaid","Paid"))</f>
        <v/>
      </c>
    </row>
    <row r="37" customFormat="false" ht="15" hidden="false" customHeight="false" outlineLevel="0" collapsed="false">
      <c r="A37" s="15"/>
      <c r="B37" s="15"/>
      <c r="C37" s="15"/>
      <c r="D37" s="15"/>
      <c r="E37" s="23"/>
      <c r="F37" s="15"/>
      <c r="G37" s="22" t="str">
        <f aca="false">IF(E37="","",IF(F37="","Unpaid","Paid"))</f>
        <v/>
      </c>
    </row>
    <row r="38" customFormat="false" ht="15" hidden="false" customHeight="false" outlineLevel="0" collapsed="false">
      <c r="A38" s="15"/>
      <c r="B38" s="15"/>
      <c r="C38" s="15"/>
      <c r="D38" s="15"/>
      <c r="E38" s="23"/>
      <c r="F38" s="15"/>
      <c r="G38" s="22" t="str">
        <f aca="false">IF(E38="","",IF(F38="","Unpaid","Paid"))</f>
        <v/>
      </c>
    </row>
    <row r="39" customFormat="false" ht="15" hidden="false" customHeight="false" outlineLevel="0" collapsed="false">
      <c r="A39" s="15"/>
      <c r="B39" s="15"/>
      <c r="C39" s="15"/>
      <c r="D39" s="15"/>
      <c r="E39" s="23"/>
      <c r="F39" s="15"/>
      <c r="G39" s="22" t="str">
        <f aca="false">IF(E39="","",IF(F39="","Unpaid","Paid"))</f>
        <v/>
      </c>
    </row>
    <row r="40" customFormat="false" ht="15" hidden="false" customHeight="false" outlineLevel="0" collapsed="false">
      <c r="A40" s="15"/>
      <c r="B40" s="15"/>
      <c r="C40" s="15"/>
      <c r="D40" s="15"/>
      <c r="E40" s="23"/>
      <c r="F40" s="15"/>
      <c r="G40" s="22" t="str">
        <f aca="false">IF(E40="","",IF(F40="","Unpaid","Paid"))</f>
        <v/>
      </c>
    </row>
    <row r="41" customFormat="false" ht="15" hidden="false" customHeight="false" outlineLevel="0" collapsed="false">
      <c r="A41" s="15"/>
      <c r="B41" s="15"/>
      <c r="C41" s="15"/>
      <c r="D41" s="15"/>
      <c r="E41" s="23"/>
      <c r="F41" s="15"/>
      <c r="G41" s="22" t="str">
        <f aca="false">IF(E41="","",IF(F41="","Unpaid","Paid"))</f>
        <v/>
      </c>
    </row>
    <row r="42" customFormat="false" ht="15" hidden="false" customHeight="false" outlineLevel="0" collapsed="false">
      <c r="A42" s="15"/>
      <c r="B42" s="15"/>
      <c r="C42" s="15"/>
      <c r="D42" s="15"/>
      <c r="E42" s="23"/>
      <c r="F42" s="15"/>
      <c r="G42" s="22" t="str">
        <f aca="false">IF(E42="","",IF(F42="","Unpaid","Paid"))</f>
        <v/>
      </c>
    </row>
    <row r="43" customFormat="false" ht="15" hidden="false" customHeight="false" outlineLevel="0" collapsed="false">
      <c r="A43" s="15"/>
      <c r="B43" s="15"/>
      <c r="C43" s="15"/>
      <c r="D43" s="15"/>
      <c r="E43" s="23"/>
      <c r="F43" s="15"/>
      <c r="G43" s="22" t="str">
        <f aca="false">IF(E43="","",IF(F43="","Unpaid","Paid"))</f>
        <v/>
      </c>
    </row>
    <row r="44" customFormat="false" ht="15" hidden="false" customHeight="false" outlineLevel="0" collapsed="false">
      <c r="A44" s="15"/>
      <c r="B44" s="15"/>
      <c r="C44" s="15"/>
      <c r="D44" s="15"/>
      <c r="E44" s="23"/>
      <c r="F44" s="15"/>
      <c r="G44" s="22" t="str">
        <f aca="false">IF(E44="","",IF(F44="","Unpaid","Paid"))</f>
        <v/>
      </c>
    </row>
    <row r="45" customFormat="false" ht="15" hidden="false" customHeight="false" outlineLevel="0" collapsed="false">
      <c r="A45" s="15"/>
      <c r="B45" s="15"/>
      <c r="C45" s="15"/>
      <c r="D45" s="15"/>
      <c r="E45" s="23"/>
      <c r="F45" s="15"/>
      <c r="G45" s="22" t="str">
        <f aca="false">IF(E45="","",IF(F45="","Unpaid","Paid"))</f>
        <v/>
      </c>
    </row>
    <row r="46" customFormat="false" ht="15" hidden="false" customHeight="false" outlineLevel="0" collapsed="false">
      <c r="A46" s="15"/>
      <c r="B46" s="15"/>
      <c r="C46" s="15"/>
      <c r="D46" s="15"/>
      <c r="E46" s="23"/>
      <c r="F46" s="15"/>
      <c r="G46" s="22" t="str">
        <f aca="false">IF(E46="","",IF(F46="","Unpaid","Paid"))</f>
        <v/>
      </c>
    </row>
    <row r="47" customFormat="false" ht="15" hidden="false" customHeight="false" outlineLevel="0" collapsed="false">
      <c r="A47" s="15"/>
      <c r="B47" s="15"/>
      <c r="C47" s="15"/>
      <c r="D47" s="15"/>
      <c r="E47" s="23"/>
      <c r="F47" s="15"/>
      <c r="G47" s="22" t="str">
        <f aca="false">IF(E47="","",IF(F47="","Unpaid","Paid"))</f>
        <v/>
      </c>
    </row>
    <row r="48" customFormat="false" ht="15" hidden="false" customHeight="false" outlineLevel="0" collapsed="false">
      <c r="A48" s="15"/>
      <c r="B48" s="15"/>
      <c r="C48" s="15"/>
      <c r="D48" s="15"/>
      <c r="E48" s="23"/>
      <c r="F48" s="15"/>
      <c r="G48" s="22" t="str">
        <f aca="false">IF(E48="","",IF(F48="","Unpaid","Paid"))</f>
        <v/>
      </c>
    </row>
    <row r="49" customFormat="false" ht="15" hidden="false" customHeight="false" outlineLevel="0" collapsed="false">
      <c r="A49" s="15"/>
      <c r="B49" s="15"/>
      <c r="C49" s="15"/>
      <c r="D49" s="15"/>
      <c r="E49" s="23"/>
      <c r="F49" s="15"/>
      <c r="G49" s="22" t="str">
        <f aca="false">IF(E49="","",IF(F49="","Unpaid","Paid"))</f>
        <v/>
      </c>
    </row>
    <row r="50" customFormat="false" ht="15" hidden="false" customHeight="false" outlineLevel="0" collapsed="false">
      <c r="A50" s="15"/>
      <c r="B50" s="15"/>
      <c r="C50" s="15"/>
      <c r="D50" s="15"/>
      <c r="E50" s="23"/>
      <c r="F50" s="15"/>
      <c r="G50" s="22" t="str">
        <f aca="false">IF(E50="","",IF(F50="","Unpaid","Paid"))</f>
        <v/>
      </c>
    </row>
    <row r="51" customFormat="false" ht="15" hidden="false" customHeight="false" outlineLevel="0" collapsed="false">
      <c r="A51" s="15"/>
      <c r="B51" s="15"/>
      <c r="C51" s="15"/>
      <c r="D51" s="15"/>
      <c r="E51" s="23"/>
      <c r="F51" s="15"/>
      <c r="G51" s="22" t="str">
        <f aca="false">IF(E51="","",IF(F51="","Unpaid","Paid"))</f>
        <v/>
      </c>
    </row>
    <row r="52" customFormat="false" ht="15" hidden="false" customHeight="false" outlineLevel="0" collapsed="false">
      <c r="A52" s="15"/>
      <c r="B52" s="15"/>
      <c r="C52" s="15"/>
      <c r="D52" s="15"/>
      <c r="E52" s="23"/>
      <c r="F52" s="15"/>
      <c r="G52" s="22" t="str">
        <f aca="false">IF(E52="","",IF(F52="","Unpaid","Paid"))</f>
        <v/>
      </c>
    </row>
    <row r="53" customFormat="false" ht="15" hidden="false" customHeight="false" outlineLevel="0" collapsed="false">
      <c r="A53" s="15"/>
      <c r="B53" s="15"/>
      <c r="C53" s="15"/>
      <c r="D53" s="15"/>
      <c r="E53" s="23"/>
      <c r="F53" s="15"/>
      <c r="G53" s="22" t="str">
        <f aca="false">IF(E53="","",IF(F53="","Unpaid","Paid"))</f>
        <v/>
      </c>
    </row>
    <row r="54" customFormat="false" ht="15" hidden="false" customHeight="false" outlineLevel="0" collapsed="false">
      <c r="A54" s="15"/>
      <c r="B54" s="15"/>
      <c r="C54" s="15"/>
      <c r="D54" s="15"/>
      <c r="E54" s="23"/>
      <c r="F54" s="15"/>
      <c r="G54" s="22" t="str">
        <f aca="false">IF(E54="","",IF(F54="","Unpaid","Paid"))</f>
        <v/>
      </c>
    </row>
    <row r="55" customFormat="false" ht="15" hidden="false" customHeight="false" outlineLevel="0" collapsed="false">
      <c r="A55" s="15"/>
      <c r="B55" s="15"/>
      <c r="C55" s="15"/>
      <c r="D55" s="15"/>
      <c r="E55" s="23"/>
      <c r="F55" s="15"/>
      <c r="G55" s="22" t="str">
        <f aca="false">IF(E55="","",IF(F55="","Unpaid","Paid"))</f>
        <v/>
      </c>
    </row>
    <row r="56" customFormat="false" ht="15" hidden="false" customHeight="false" outlineLevel="0" collapsed="false">
      <c r="A56" s="15"/>
      <c r="B56" s="15"/>
      <c r="C56" s="15"/>
      <c r="D56" s="15"/>
      <c r="E56" s="23"/>
      <c r="F56" s="15"/>
      <c r="G56" s="22" t="str">
        <f aca="false">IF(E56="","",IF(F56="","Unpaid","Paid"))</f>
        <v/>
      </c>
    </row>
    <row r="57" customFormat="false" ht="15" hidden="false" customHeight="false" outlineLevel="0" collapsed="false">
      <c r="A57" s="15"/>
      <c r="B57" s="15"/>
      <c r="C57" s="15"/>
      <c r="D57" s="15"/>
      <c r="E57" s="23"/>
      <c r="F57" s="15"/>
      <c r="G57" s="22" t="str">
        <f aca="false">IF(E57="","",IF(F57="","Unpaid","Paid"))</f>
        <v/>
      </c>
    </row>
    <row r="58" customFormat="false" ht="15" hidden="false" customHeight="false" outlineLevel="0" collapsed="false">
      <c r="A58" s="15"/>
      <c r="B58" s="15"/>
      <c r="C58" s="15"/>
      <c r="D58" s="15"/>
      <c r="E58" s="23"/>
      <c r="F58" s="15"/>
      <c r="G58" s="22" t="str">
        <f aca="false">IF(E58="","",IF(F58="","Unpaid","Paid"))</f>
        <v/>
      </c>
    </row>
    <row r="59" customFormat="false" ht="15" hidden="false" customHeight="false" outlineLevel="0" collapsed="false">
      <c r="A59" s="15"/>
      <c r="B59" s="15"/>
      <c r="C59" s="15"/>
      <c r="D59" s="15"/>
      <c r="E59" s="23"/>
      <c r="F59" s="15"/>
      <c r="G59" s="22" t="str">
        <f aca="false">IF(E59="","",IF(F59="","Unpaid","Paid"))</f>
        <v/>
      </c>
    </row>
    <row r="60" customFormat="false" ht="15" hidden="false" customHeight="false" outlineLevel="0" collapsed="false">
      <c r="A60" s="15"/>
      <c r="B60" s="15"/>
      <c r="C60" s="15"/>
      <c r="D60" s="15"/>
      <c r="E60" s="23"/>
      <c r="F60" s="15"/>
      <c r="G60" s="22" t="str">
        <f aca="false">IF(E60="","",IF(F60="","Unpaid","Paid"))</f>
        <v/>
      </c>
    </row>
    <row r="61" customFormat="false" ht="15" hidden="false" customHeight="false" outlineLevel="0" collapsed="false">
      <c r="A61" s="15"/>
      <c r="B61" s="15"/>
      <c r="C61" s="15"/>
      <c r="D61" s="15"/>
      <c r="E61" s="23"/>
      <c r="F61" s="15"/>
      <c r="G61" s="22" t="str">
        <f aca="false">IF(E61="","",IF(F61="","Unpaid","Paid"))</f>
        <v/>
      </c>
    </row>
    <row r="62" customFormat="false" ht="15" hidden="false" customHeight="false" outlineLevel="0" collapsed="false">
      <c r="A62" s="15"/>
      <c r="B62" s="15"/>
      <c r="C62" s="15"/>
      <c r="D62" s="15"/>
      <c r="E62" s="23"/>
      <c r="F62" s="15"/>
      <c r="G62" s="22" t="str">
        <f aca="false">IF(E62="","",IF(F62="","Unpaid","Paid"))</f>
        <v/>
      </c>
    </row>
    <row r="63" customFormat="false" ht="15" hidden="false" customHeight="false" outlineLevel="0" collapsed="false">
      <c r="A63" s="15"/>
      <c r="B63" s="15"/>
      <c r="C63" s="15"/>
      <c r="D63" s="15"/>
      <c r="E63" s="23"/>
      <c r="F63" s="15"/>
      <c r="G63" s="22" t="str">
        <f aca="false">IF(E63="","",IF(F63="","Unpaid","Paid"))</f>
        <v/>
      </c>
    </row>
    <row r="64" customFormat="false" ht="15" hidden="false" customHeight="false" outlineLevel="0" collapsed="false">
      <c r="A64" s="15"/>
      <c r="B64" s="15"/>
      <c r="C64" s="15"/>
      <c r="D64" s="15"/>
      <c r="E64" s="23"/>
      <c r="F64" s="15"/>
      <c r="G64" s="22" t="str">
        <f aca="false">IF(E64="","",IF(F64="","Unpaid","Paid"))</f>
        <v/>
      </c>
    </row>
    <row r="65" customFormat="false" ht="15" hidden="false" customHeight="false" outlineLevel="0" collapsed="false">
      <c r="A65" s="15"/>
      <c r="B65" s="15"/>
      <c r="C65" s="15"/>
      <c r="D65" s="15"/>
      <c r="E65" s="23"/>
      <c r="F65" s="15"/>
      <c r="G65" s="22" t="str">
        <f aca="false">IF(E65="","",IF(F65="","Unpaid","Paid"))</f>
        <v/>
      </c>
    </row>
    <row r="66" customFormat="false" ht="15" hidden="false" customHeight="false" outlineLevel="0" collapsed="false">
      <c r="A66" s="15"/>
      <c r="B66" s="15"/>
      <c r="C66" s="15"/>
      <c r="D66" s="15"/>
      <c r="E66" s="23"/>
      <c r="F66" s="15"/>
      <c r="G66" s="22" t="str">
        <f aca="false">IF(E66="","",IF(F66="","Unpaid","Paid"))</f>
        <v/>
      </c>
    </row>
    <row r="67" customFormat="false" ht="15" hidden="false" customHeight="false" outlineLevel="0" collapsed="false">
      <c r="A67" s="15"/>
      <c r="B67" s="15"/>
      <c r="C67" s="15"/>
      <c r="D67" s="15"/>
      <c r="E67" s="23"/>
      <c r="F67" s="15"/>
      <c r="G67" s="22" t="str">
        <f aca="false">IF(E67="","",IF(F67="","Unpaid","Paid"))</f>
        <v/>
      </c>
    </row>
    <row r="68" customFormat="false" ht="15" hidden="false" customHeight="false" outlineLevel="0" collapsed="false">
      <c r="A68" s="15"/>
      <c r="B68" s="15"/>
      <c r="C68" s="15"/>
      <c r="D68" s="15"/>
      <c r="E68" s="23"/>
      <c r="F68" s="15"/>
      <c r="G68" s="22" t="str">
        <f aca="false">IF(E68="","",IF(F68="","Unpaid","Paid"))</f>
        <v/>
      </c>
    </row>
    <row r="69" customFormat="false" ht="15" hidden="false" customHeight="false" outlineLevel="0" collapsed="false">
      <c r="A69" s="15"/>
      <c r="B69" s="15"/>
      <c r="C69" s="15"/>
      <c r="D69" s="15"/>
      <c r="E69" s="23"/>
      <c r="F69" s="15"/>
      <c r="G69" s="22" t="str">
        <f aca="false">IF(E69="","",IF(F69="","Unpaid","Paid"))</f>
        <v/>
      </c>
    </row>
    <row r="70" customFormat="false" ht="15" hidden="false" customHeight="false" outlineLevel="0" collapsed="false">
      <c r="A70" s="15"/>
      <c r="B70" s="15"/>
      <c r="C70" s="15"/>
      <c r="D70" s="15"/>
      <c r="E70" s="23"/>
      <c r="F70" s="15"/>
      <c r="G70" s="22" t="str">
        <f aca="false">IF(E70="","",IF(F70="","Unpaid","Paid"))</f>
        <v/>
      </c>
    </row>
    <row r="71" customFormat="false" ht="15" hidden="false" customHeight="false" outlineLevel="0" collapsed="false">
      <c r="A71" s="15"/>
      <c r="B71" s="15"/>
      <c r="C71" s="15"/>
      <c r="D71" s="15"/>
      <c r="E71" s="23"/>
      <c r="F71" s="15"/>
      <c r="G71" s="22" t="str">
        <f aca="false">IF(E71="","",IF(F71="","Unpaid","Paid"))</f>
        <v/>
      </c>
    </row>
    <row r="72" customFormat="false" ht="15" hidden="false" customHeight="false" outlineLevel="0" collapsed="false">
      <c r="A72" s="15"/>
      <c r="B72" s="15"/>
      <c r="C72" s="15"/>
      <c r="D72" s="15"/>
      <c r="E72" s="23"/>
      <c r="F72" s="15"/>
      <c r="G72" s="22" t="str">
        <f aca="false">IF(E72="","",IF(F72="","Unpaid","Paid"))</f>
        <v/>
      </c>
    </row>
    <row r="73" customFormat="false" ht="15" hidden="false" customHeight="false" outlineLevel="0" collapsed="false">
      <c r="A73" s="15"/>
      <c r="B73" s="15"/>
      <c r="C73" s="15"/>
      <c r="D73" s="15"/>
      <c r="E73" s="23"/>
      <c r="F73" s="15"/>
      <c r="G73" s="22" t="str">
        <f aca="false">IF(E73="","",IF(F73="","Unpaid","Paid"))</f>
        <v/>
      </c>
    </row>
    <row r="74" customFormat="false" ht="15" hidden="false" customHeight="false" outlineLevel="0" collapsed="false">
      <c r="A74" s="15"/>
      <c r="B74" s="15"/>
      <c r="C74" s="15"/>
      <c r="D74" s="15"/>
      <c r="E74" s="23"/>
      <c r="F74" s="15"/>
      <c r="G74" s="22" t="str">
        <f aca="false">IF(E74="","",IF(F74="","Unpaid","Paid"))</f>
        <v/>
      </c>
    </row>
    <row r="75" customFormat="false" ht="15" hidden="false" customHeight="false" outlineLevel="0" collapsed="false">
      <c r="A75" s="15"/>
      <c r="B75" s="15"/>
      <c r="C75" s="15"/>
      <c r="D75" s="15"/>
      <c r="E75" s="23"/>
      <c r="F75" s="15"/>
      <c r="G75" s="22" t="str">
        <f aca="false">IF(E75="","",IF(F75="","Unpaid","Paid"))</f>
        <v/>
      </c>
    </row>
    <row r="76" customFormat="false" ht="15" hidden="false" customHeight="false" outlineLevel="0" collapsed="false">
      <c r="A76" s="15"/>
      <c r="B76" s="15"/>
      <c r="C76" s="15"/>
      <c r="D76" s="15"/>
      <c r="E76" s="23"/>
      <c r="F76" s="15"/>
      <c r="G76" s="22" t="str">
        <f aca="false">IF(E76="","",IF(F76="","Unpaid","Paid"))</f>
        <v/>
      </c>
    </row>
    <row r="77" customFormat="false" ht="15" hidden="false" customHeight="false" outlineLevel="0" collapsed="false">
      <c r="A77" s="15"/>
      <c r="B77" s="15"/>
      <c r="C77" s="15"/>
      <c r="D77" s="15"/>
      <c r="E77" s="23"/>
      <c r="F77" s="15"/>
      <c r="G77" s="22" t="str">
        <f aca="false">IF(E77="","",IF(F77="","Unpaid","Paid"))</f>
        <v/>
      </c>
    </row>
    <row r="78" customFormat="false" ht="15" hidden="false" customHeight="false" outlineLevel="0" collapsed="false">
      <c r="A78" s="15"/>
      <c r="B78" s="15"/>
      <c r="C78" s="15"/>
      <c r="D78" s="15"/>
      <c r="E78" s="23"/>
      <c r="F78" s="15"/>
      <c r="G78" s="22" t="str">
        <f aca="false">IF(E78="","",IF(F78="","Unpaid","Paid"))</f>
        <v/>
      </c>
    </row>
    <row r="79" customFormat="false" ht="15" hidden="false" customHeight="false" outlineLevel="0" collapsed="false">
      <c r="A79" s="15"/>
      <c r="B79" s="15"/>
      <c r="C79" s="15"/>
      <c r="D79" s="15"/>
      <c r="E79" s="23"/>
      <c r="F79" s="15"/>
      <c r="G79" s="22" t="str">
        <f aca="false">IF(E79="","",IF(F79="","Unpaid","Paid"))</f>
        <v/>
      </c>
    </row>
    <row r="80" customFormat="false" ht="15" hidden="false" customHeight="false" outlineLevel="0" collapsed="false">
      <c r="A80" s="15"/>
      <c r="B80" s="15"/>
      <c r="C80" s="15"/>
      <c r="D80" s="15"/>
      <c r="E80" s="23"/>
      <c r="F80" s="15"/>
      <c r="G80" s="22" t="str">
        <f aca="false">IF(E80="","",IF(F80="","Unpaid","Paid"))</f>
        <v/>
      </c>
    </row>
    <row r="81" customFormat="false" ht="15" hidden="false" customHeight="false" outlineLevel="0" collapsed="false">
      <c r="A81" s="15"/>
      <c r="B81" s="15"/>
      <c r="C81" s="15"/>
      <c r="D81" s="15"/>
      <c r="E81" s="23"/>
      <c r="F81" s="15"/>
      <c r="G81" s="22" t="str">
        <f aca="false">IF(E81="","",IF(F81="","Unpaid","Paid"))</f>
        <v/>
      </c>
    </row>
    <row r="82" customFormat="false" ht="15" hidden="false" customHeight="false" outlineLevel="0" collapsed="false">
      <c r="A82" s="15"/>
      <c r="B82" s="15"/>
      <c r="C82" s="15"/>
      <c r="D82" s="15"/>
      <c r="E82" s="23"/>
      <c r="F82" s="15"/>
      <c r="G82" s="22" t="str">
        <f aca="false">IF(E82="","",IF(F82="","Unpaid","Paid"))</f>
        <v/>
      </c>
    </row>
    <row r="83" customFormat="false" ht="15" hidden="false" customHeight="false" outlineLevel="0" collapsed="false">
      <c r="A83" s="15"/>
      <c r="B83" s="15"/>
      <c r="C83" s="15"/>
      <c r="D83" s="15"/>
      <c r="E83" s="23"/>
      <c r="F83" s="15"/>
      <c r="G83" s="22" t="str">
        <f aca="false">IF(E83="","",IF(F83="","Unpaid","Paid"))</f>
        <v/>
      </c>
    </row>
    <row r="84" customFormat="false" ht="15" hidden="false" customHeight="false" outlineLevel="0" collapsed="false">
      <c r="A84" s="15"/>
      <c r="B84" s="15"/>
      <c r="C84" s="15"/>
      <c r="D84" s="15"/>
      <c r="E84" s="23"/>
      <c r="F84" s="15"/>
      <c r="G84" s="22" t="str">
        <f aca="false">IF(E84="","",IF(F84="","Unpaid","Paid"))</f>
        <v/>
      </c>
    </row>
    <row r="85" customFormat="false" ht="15" hidden="false" customHeight="false" outlineLevel="0" collapsed="false">
      <c r="A85" s="15"/>
      <c r="B85" s="15"/>
      <c r="C85" s="15"/>
      <c r="D85" s="15"/>
      <c r="E85" s="23"/>
      <c r="F85" s="15"/>
      <c r="G85" s="22" t="str">
        <f aca="false">IF(E85="","",IF(F85="","Unpaid","Paid"))</f>
        <v/>
      </c>
    </row>
    <row r="86" customFormat="false" ht="15" hidden="false" customHeight="false" outlineLevel="0" collapsed="false">
      <c r="A86" s="15"/>
      <c r="B86" s="15"/>
      <c r="C86" s="15"/>
      <c r="D86" s="15"/>
      <c r="E86" s="23"/>
      <c r="F86" s="15"/>
      <c r="G86" s="22" t="str">
        <f aca="false">IF(E86="","",IF(F86="","Unpaid","Paid"))</f>
        <v/>
      </c>
    </row>
    <row r="87" customFormat="false" ht="15" hidden="false" customHeight="false" outlineLevel="0" collapsed="false">
      <c r="A87" s="15"/>
      <c r="B87" s="15"/>
      <c r="C87" s="15"/>
      <c r="D87" s="15"/>
      <c r="E87" s="23"/>
      <c r="F87" s="15"/>
      <c r="G87" s="22" t="str">
        <f aca="false">IF(E87="","",IF(F87="","Unpaid","Paid"))</f>
        <v/>
      </c>
    </row>
    <row r="88" customFormat="false" ht="15" hidden="false" customHeight="false" outlineLevel="0" collapsed="false">
      <c r="A88" s="15"/>
      <c r="B88" s="15"/>
      <c r="C88" s="15"/>
      <c r="D88" s="15"/>
      <c r="E88" s="23"/>
      <c r="F88" s="15"/>
      <c r="G88" s="22" t="str">
        <f aca="false">IF(E88="","",IF(F88="","Unpaid","Paid"))</f>
        <v/>
      </c>
    </row>
    <row r="89" customFormat="false" ht="15" hidden="false" customHeight="false" outlineLevel="0" collapsed="false">
      <c r="A89" s="15"/>
      <c r="B89" s="15"/>
      <c r="C89" s="15"/>
      <c r="D89" s="15"/>
      <c r="E89" s="23"/>
      <c r="F89" s="15"/>
      <c r="G89" s="22" t="str">
        <f aca="false">IF(E89="","",IF(F89="","Unpaid","Paid"))</f>
        <v/>
      </c>
    </row>
    <row r="90" customFormat="false" ht="15" hidden="false" customHeight="false" outlineLevel="0" collapsed="false">
      <c r="A90" s="15"/>
      <c r="B90" s="15"/>
      <c r="C90" s="15"/>
      <c r="D90" s="15"/>
      <c r="E90" s="23"/>
      <c r="F90" s="15"/>
      <c r="G90" s="22" t="str">
        <f aca="false">IF(E90="","",IF(F90="","Unpaid","Paid"))</f>
        <v/>
      </c>
    </row>
    <row r="91" customFormat="false" ht="15" hidden="false" customHeight="false" outlineLevel="0" collapsed="false">
      <c r="A91" s="15"/>
      <c r="B91" s="15"/>
      <c r="C91" s="15"/>
      <c r="D91" s="15"/>
      <c r="E91" s="23"/>
      <c r="F91" s="15"/>
      <c r="G91" s="22" t="str">
        <f aca="false">IF(E91="","",IF(F91="","Unpaid","Paid"))</f>
        <v/>
      </c>
    </row>
    <row r="92" customFormat="false" ht="15" hidden="false" customHeight="false" outlineLevel="0" collapsed="false">
      <c r="A92" s="15"/>
      <c r="B92" s="15"/>
      <c r="C92" s="15"/>
      <c r="D92" s="15"/>
      <c r="E92" s="23"/>
      <c r="F92" s="15"/>
      <c r="G92" s="22" t="str">
        <f aca="false">IF(E92="","",IF(F92="","Unpaid","Paid"))</f>
        <v/>
      </c>
    </row>
    <row r="93" customFormat="false" ht="15" hidden="false" customHeight="false" outlineLevel="0" collapsed="false">
      <c r="A93" s="15"/>
      <c r="B93" s="15"/>
      <c r="C93" s="15"/>
      <c r="D93" s="15"/>
      <c r="E93" s="23"/>
      <c r="F93" s="15"/>
      <c r="G93" s="22" t="str">
        <f aca="false">IF(E93="","",IF(F93="","Unpaid","Paid"))</f>
        <v/>
      </c>
    </row>
    <row r="94" customFormat="false" ht="15" hidden="false" customHeight="false" outlineLevel="0" collapsed="false">
      <c r="A94" s="15"/>
      <c r="B94" s="15"/>
      <c r="C94" s="15"/>
      <c r="D94" s="15"/>
      <c r="E94" s="23"/>
      <c r="F94" s="15"/>
      <c r="G94" s="22" t="str">
        <f aca="false">IF(E94="","",IF(F94="","Unpaid","Paid"))</f>
        <v/>
      </c>
    </row>
    <row r="95" customFormat="false" ht="15" hidden="false" customHeight="false" outlineLevel="0" collapsed="false">
      <c r="A95" s="15"/>
      <c r="B95" s="15"/>
      <c r="C95" s="15"/>
      <c r="D95" s="15"/>
      <c r="E95" s="23"/>
      <c r="F95" s="15"/>
      <c r="G95" s="22" t="str">
        <f aca="false">IF(E95="","",IF(F95="","Unpaid","Paid"))</f>
        <v/>
      </c>
    </row>
    <row r="96" customFormat="false" ht="15" hidden="false" customHeight="false" outlineLevel="0" collapsed="false">
      <c r="A96" s="15"/>
      <c r="B96" s="15"/>
      <c r="C96" s="15"/>
      <c r="D96" s="15"/>
      <c r="E96" s="23"/>
      <c r="F96" s="15"/>
      <c r="G96" s="22" t="str">
        <f aca="false">IF(E96="","",IF(F96="","Unpaid","Paid"))</f>
        <v/>
      </c>
    </row>
    <row r="97" customFormat="false" ht="15" hidden="false" customHeight="false" outlineLevel="0" collapsed="false">
      <c r="A97" s="15"/>
      <c r="B97" s="15"/>
      <c r="C97" s="15"/>
      <c r="D97" s="15"/>
      <c r="E97" s="23"/>
      <c r="F97" s="15"/>
      <c r="G97" s="22" t="str">
        <f aca="false">IF(E97="","",IF(F97="","Unpaid","Paid"))</f>
        <v/>
      </c>
    </row>
    <row r="98" customFormat="false" ht="15" hidden="false" customHeight="false" outlineLevel="0" collapsed="false">
      <c r="A98" s="15"/>
      <c r="B98" s="15"/>
      <c r="C98" s="15"/>
      <c r="D98" s="15"/>
      <c r="E98" s="23"/>
      <c r="F98" s="15"/>
      <c r="G98" s="22" t="str">
        <f aca="false">IF(E98="","",IF(F98="","Unpaid","Paid"))</f>
        <v/>
      </c>
    </row>
    <row r="99" customFormat="false" ht="15" hidden="false" customHeight="false" outlineLevel="0" collapsed="false">
      <c r="A99" s="15"/>
      <c r="B99" s="15"/>
      <c r="C99" s="15"/>
      <c r="D99" s="15"/>
      <c r="E99" s="23"/>
      <c r="F99" s="15"/>
      <c r="G99" s="22" t="str">
        <f aca="false">IF(E99="","",IF(F99="","Unpaid","Paid"))</f>
        <v/>
      </c>
    </row>
    <row r="100" customFormat="false" ht="15" hidden="false" customHeight="false" outlineLevel="0" collapsed="false">
      <c r="A100" s="15"/>
      <c r="B100" s="15"/>
      <c r="C100" s="15"/>
      <c r="D100" s="15"/>
      <c r="E100" s="23"/>
      <c r="F100" s="15"/>
      <c r="G100" s="22" t="str">
        <f aca="false">IF(E100="","",IF(F100="","Unpaid","Paid"))</f>
        <v/>
      </c>
    </row>
    <row r="101" customFormat="false" ht="15" hidden="false" customHeight="false" outlineLevel="0" collapsed="false">
      <c r="A101" s="15"/>
      <c r="B101" s="15"/>
      <c r="C101" s="15"/>
      <c r="D101" s="15"/>
      <c r="E101" s="23"/>
      <c r="F101" s="15"/>
      <c r="G101" s="22" t="str">
        <f aca="false">IF(E101="","",IF(F101="","Unpaid","Paid"))</f>
        <v/>
      </c>
    </row>
    <row r="102" customFormat="false" ht="15" hidden="false" customHeight="false" outlineLevel="0" collapsed="false">
      <c r="A102" s="15"/>
      <c r="B102" s="15"/>
      <c r="C102" s="15"/>
      <c r="D102" s="15"/>
      <c r="E102" s="23"/>
      <c r="F102" s="15"/>
      <c r="G102" s="22" t="str">
        <f aca="false">IF(E102="","",IF(F102="","Unpaid","Paid"))</f>
        <v/>
      </c>
    </row>
    <row r="103" customFormat="false" ht="15" hidden="false" customHeight="false" outlineLevel="0" collapsed="false">
      <c r="A103" s="15"/>
      <c r="B103" s="15"/>
      <c r="C103" s="15"/>
      <c r="D103" s="15"/>
      <c r="E103" s="23"/>
      <c r="F103" s="15"/>
      <c r="G103" s="22" t="str">
        <f aca="false">IF(E103="","",IF(F103="","Unpaid","Paid"))</f>
        <v/>
      </c>
    </row>
    <row r="104" customFormat="false" ht="15" hidden="false" customHeight="false" outlineLevel="0" collapsed="false">
      <c r="A104" s="15"/>
      <c r="B104" s="15"/>
      <c r="C104" s="15"/>
      <c r="D104" s="15"/>
      <c r="E104" s="23"/>
      <c r="F104" s="15"/>
      <c r="G104" s="22" t="str">
        <f aca="false">IF(E104="","",IF(F104="","Unpaid","Paid"))</f>
        <v/>
      </c>
    </row>
    <row r="105" customFormat="false" ht="15" hidden="false" customHeight="false" outlineLevel="0" collapsed="false">
      <c r="A105" s="15"/>
      <c r="B105" s="15"/>
      <c r="C105" s="15"/>
      <c r="D105" s="15"/>
      <c r="E105" s="23"/>
      <c r="F105" s="15"/>
      <c r="G105" s="22" t="str">
        <f aca="false">IF(E105="","",IF(F105="","Unpaid","Paid"))</f>
        <v/>
      </c>
    </row>
    <row r="106" customFormat="false" ht="15" hidden="false" customHeight="false" outlineLevel="0" collapsed="false">
      <c r="A106" s="15"/>
      <c r="B106" s="15"/>
      <c r="C106" s="15"/>
      <c r="D106" s="15"/>
      <c r="E106" s="23"/>
      <c r="F106" s="15"/>
      <c r="G106" s="22" t="str">
        <f aca="false">IF(E106="","",IF(F106="","Unpaid","Paid"))</f>
        <v/>
      </c>
    </row>
    <row r="107" customFormat="false" ht="15" hidden="false" customHeight="false" outlineLevel="0" collapsed="false">
      <c r="A107" s="15"/>
      <c r="B107" s="15"/>
      <c r="C107" s="15"/>
      <c r="D107" s="15"/>
      <c r="E107" s="23"/>
      <c r="F107" s="15"/>
      <c r="G107" s="22" t="str">
        <f aca="false">IF(E107="","",IF(F107="","Unpaid","Paid"))</f>
        <v/>
      </c>
    </row>
    <row r="108" customFormat="false" ht="15" hidden="false" customHeight="false" outlineLevel="0" collapsed="false">
      <c r="A108" s="15"/>
      <c r="B108" s="15"/>
      <c r="C108" s="15"/>
      <c r="D108" s="15"/>
      <c r="E108" s="23"/>
      <c r="F108" s="15"/>
      <c r="G108" s="22" t="str">
        <f aca="false">IF(E108="","",IF(F108="","Unpaid","Paid"))</f>
        <v/>
      </c>
    </row>
    <row r="109" customFormat="false" ht="15" hidden="false" customHeight="false" outlineLevel="0" collapsed="false">
      <c r="A109" s="15"/>
      <c r="B109" s="15"/>
      <c r="C109" s="15"/>
      <c r="D109" s="15"/>
      <c r="E109" s="23"/>
      <c r="F109" s="15"/>
      <c r="G109" s="22" t="str">
        <f aca="false">IF(E109="","",IF(F109="","Unpaid","Paid"))</f>
        <v/>
      </c>
    </row>
    <row r="110" customFormat="false" ht="15" hidden="false" customHeight="false" outlineLevel="0" collapsed="false">
      <c r="A110" s="15"/>
      <c r="B110" s="15"/>
      <c r="C110" s="15"/>
      <c r="D110" s="15"/>
      <c r="E110" s="23"/>
      <c r="F110" s="15"/>
      <c r="G110" s="22" t="str">
        <f aca="false">IF(E110="","",IF(F110="","Unpaid","Paid"))</f>
        <v/>
      </c>
    </row>
    <row r="111" customFormat="false" ht="15" hidden="false" customHeight="false" outlineLevel="0" collapsed="false">
      <c r="A111" s="15"/>
      <c r="B111" s="15"/>
      <c r="C111" s="15"/>
      <c r="D111" s="15"/>
      <c r="E111" s="23"/>
      <c r="F111" s="15"/>
      <c r="G111" s="22" t="str">
        <f aca="false">IF(E111="","",IF(F111="","Unpaid","Paid"))</f>
        <v/>
      </c>
    </row>
    <row r="112" customFormat="false" ht="15" hidden="false" customHeight="false" outlineLevel="0" collapsed="false">
      <c r="A112" s="15"/>
      <c r="B112" s="15"/>
      <c r="C112" s="15"/>
      <c r="D112" s="15"/>
      <c r="E112" s="23"/>
      <c r="F112" s="15"/>
      <c r="G112" s="22" t="str">
        <f aca="false">IF(E112="","",IF(F112="","Unpaid","Paid"))</f>
        <v/>
      </c>
    </row>
    <row r="113" customFormat="false" ht="15" hidden="false" customHeight="false" outlineLevel="0" collapsed="false">
      <c r="A113" s="15"/>
      <c r="B113" s="15"/>
      <c r="C113" s="15"/>
      <c r="D113" s="15"/>
      <c r="E113" s="23"/>
      <c r="F113" s="15"/>
      <c r="G113" s="22" t="str">
        <f aca="false">IF(E113="","",IF(F113="","Unpaid","Paid"))</f>
        <v/>
      </c>
    </row>
    <row r="114" customFormat="false" ht="15" hidden="false" customHeight="false" outlineLevel="0" collapsed="false">
      <c r="A114" s="15"/>
      <c r="B114" s="15"/>
      <c r="C114" s="15"/>
      <c r="D114" s="15"/>
      <c r="E114" s="23"/>
      <c r="F114" s="15"/>
      <c r="G114" s="22" t="str">
        <f aca="false">IF(E114="","",IF(F114="","Unpaid","Paid"))</f>
        <v/>
      </c>
    </row>
    <row r="115" customFormat="false" ht="15" hidden="false" customHeight="false" outlineLevel="0" collapsed="false">
      <c r="A115" s="15"/>
      <c r="B115" s="15"/>
      <c r="C115" s="15"/>
      <c r="D115" s="15"/>
      <c r="E115" s="23"/>
      <c r="F115" s="15"/>
      <c r="G115" s="22" t="str">
        <f aca="false">IF(E115="","",IF(F115="","Unpaid","Paid"))</f>
        <v/>
      </c>
    </row>
    <row r="116" customFormat="false" ht="15" hidden="false" customHeight="false" outlineLevel="0" collapsed="false">
      <c r="A116" s="15"/>
      <c r="B116" s="15"/>
      <c r="C116" s="15"/>
      <c r="D116" s="15"/>
      <c r="E116" s="23"/>
      <c r="F116" s="15"/>
      <c r="G116" s="22" t="str">
        <f aca="false">IF(E116="","",IF(F116="","Unpaid","Paid"))</f>
        <v/>
      </c>
    </row>
    <row r="117" customFormat="false" ht="15" hidden="false" customHeight="false" outlineLevel="0" collapsed="false">
      <c r="A117" s="15"/>
      <c r="B117" s="15"/>
      <c r="C117" s="15"/>
      <c r="D117" s="15"/>
      <c r="E117" s="23"/>
      <c r="F117" s="15"/>
      <c r="G117" s="22" t="str">
        <f aca="false">IF(E117="","",IF(F117="","Unpaid","Paid"))</f>
        <v/>
      </c>
    </row>
    <row r="118" customFormat="false" ht="15" hidden="false" customHeight="false" outlineLevel="0" collapsed="false">
      <c r="A118" s="15"/>
      <c r="B118" s="15"/>
      <c r="C118" s="15"/>
      <c r="D118" s="15"/>
      <c r="E118" s="23"/>
      <c r="F118" s="15"/>
      <c r="G118" s="22" t="str">
        <f aca="false">IF(E118="","",IF(F118="","Unpaid","Paid"))</f>
        <v/>
      </c>
    </row>
    <row r="119" customFormat="false" ht="15" hidden="false" customHeight="false" outlineLevel="0" collapsed="false">
      <c r="A119" s="15"/>
      <c r="B119" s="15"/>
      <c r="C119" s="15"/>
      <c r="D119" s="15"/>
      <c r="E119" s="23"/>
      <c r="F119" s="15"/>
      <c r="G119" s="22" t="str">
        <f aca="false">IF(E119="","",IF(F119="","Unpaid","Paid"))</f>
        <v/>
      </c>
    </row>
    <row r="120" customFormat="false" ht="15" hidden="false" customHeight="false" outlineLevel="0" collapsed="false">
      <c r="A120" s="15"/>
      <c r="B120" s="15"/>
      <c r="C120" s="15"/>
      <c r="D120" s="15"/>
      <c r="E120" s="23"/>
      <c r="F120" s="15"/>
      <c r="G120" s="22" t="str">
        <f aca="false">IF(E120="","",IF(F120="","Unpaid","Paid"))</f>
        <v/>
      </c>
    </row>
    <row r="121" customFormat="false" ht="15" hidden="false" customHeight="false" outlineLevel="0" collapsed="false">
      <c r="A121" s="15"/>
      <c r="B121" s="15"/>
      <c r="C121" s="15"/>
      <c r="D121" s="15"/>
      <c r="E121" s="23"/>
      <c r="F121" s="15"/>
      <c r="G121" s="22" t="str">
        <f aca="false">IF(E121="","",IF(F121="","Unpaid","Paid"))</f>
        <v/>
      </c>
    </row>
    <row r="122" customFormat="false" ht="15" hidden="false" customHeight="false" outlineLevel="0" collapsed="false">
      <c r="A122" s="15"/>
      <c r="B122" s="15"/>
      <c r="C122" s="15"/>
      <c r="D122" s="15"/>
      <c r="E122" s="23"/>
      <c r="F122" s="15"/>
      <c r="G122" s="22" t="str">
        <f aca="false">IF(E122="","",IF(F122="","Unpaid","Paid"))</f>
        <v/>
      </c>
    </row>
    <row r="123" customFormat="false" ht="15" hidden="false" customHeight="false" outlineLevel="0" collapsed="false">
      <c r="A123" s="15"/>
      <c r="B123" s="15"/>
      <c r="C123" s="15"/>
      <c r="D123" s="15"/>
      <c r="E123" s="23"/>
      <c r="F123" s="15"/>
      <c r="G123" s="22" t="str">
        <f aca="false">IF(E123="","",IF(F123="","Unpaid","Paid"))</f>
        <v/>
      </c>
    </row>
    <row r="124" customFormat="false" ht="15" hidden="false" customHeight="false" outlineLevel="0" collapsed="false">
      <c r="A124" s="15"/>
      <c r="B124" s="15"/>
      <c r="C124" s="15"/>
      <c r="D124" s="15"/>
      <c r="E124" s="23"/>
      <c r="F124" s="15"/>
      <c r="G124" s="22" t="str">
        <f aca="false">IF(E124="","",IF(F124="","Unpaid","Paid"))</f>
        <v/>
      </c>
    </row>
    <row r="125" customFormat="false" ht="15" hidden="false" customHeight="false" outlineLevel="0" collapsed="false">
      <c r="A125" s="15"/>
      <c r="B125" s="15"/>
      <c r="C125" s="15"/>
      <c r="D125" s="15"/>
      <c r="E125" s="23"/>
      <c r="F125" s="15"/>
      <c r="G125" s="22" t="str">
        <f aca="false">IF(E125="","",IF(F125="","Unpaid","Paid"))</f>
        <v/>
      </c>
    </row>
    <row r="126" customFormat="false" ht="15" hidden="false" customHeight="false" outlineLevel="0" collapsed="false">
      <c r="A126" s="15"/>
      <c r="B126" s="15"/>
      <c r="C126" s="15"/>
      <c r="D126" s="15"/>
      <c r="E126" s="23"/>
      <c r="F126" s="15"/>
      <c r="G126" s="22" t="str">
        <f aca="false">IF(E126="","",IF(F126="","Unpaid","Paid"))</f>
        <v/>
      </c>
    </row>
    <row r="127" customFormat="false" ht="15" hidden="false" customHeight="false" outlineLevel="0" collapsed="false">
      <c r="A127" s="15"/>
      <c r="B127" s="15"/>
      <c r="C127" s="15"/>
      <c r="D127" s="15"/>
      <c r="E127" s="23"/>
      <c r="F127" s="15"/>
      <c r="G127" s="22" t="str">
        <f aca="false">IF(E127="","",IF(F127="","Unpaid","Paid"))</f>
        <v/>
      </c>
    </row>
    <row r="128" customFormat="false" ht="15" hidden="false" customHeight="false" outlineLevel="0" collapsed="false">
      <c r="A128" s="15"/>
      <c r="B128" s="15"/>
      <c r="C128" s="15"/>
      <c r="D128" s="15"/>
      <c r="E128" s="23"/>
      <c r="F128" s="15"/>
      <c r="G128" s="22" t="str">
        <f aca="false">IF(E128="","",IF(F128="","Unpaid","Paid"))</f>
        <v/>
      </c>
    </row>
    <row r="129" customFormat="false" ht="15" hidden="false" customHeight="false" outlineLevel="0" collapsed="false">
      <c r="A129" s="15"/>
      <c r="B129" s="15"/>
      <c r="C129" s="15"/>
      <c r="D129" s="15"/>
      <c r="E129" s="23"/>
      <c r="F129" s="15"/>
      <c r="G129" s="22" t="str">
        <f aca="false">IF(E129="","",IF(F129="","Unpaid","Paid"))</f>
        <v/>
      </c>
    </row>
    <row r="130" customFormat="false" ht="15" hidden="false" customHeight="false" outlineLevel="0" collapsed="false">
      <c r="A130" s="15"/>
      <c r="B130" s="15"/>
      <c r="C130" s="15"/>
      <c r="D130" s="15"/>
      <c r="E130" s="23"/>
      <c r="F130" s="15"/>
      <c r="G130" s="22" t="str">
        <f aca="false">IF(E130="","",IF(F130="","Unpaid","Paid"))</f>
        <v/>
      </c>
    </row>
    <row r="131" customFormat="false" ht="15" hidden="false" customHeight="false" outlineLevel="0" collapsed="false">
      <c r="A131" s="15"/>
      <c r="B131" s="15"/>
      <c r="C131" s="15"/>
      <c r="D131" s="15"/>
      <c r="E131" s="23"/>
      <c r="F131" s="15"/>
      <c r="G131" s="22" t="str">
        <f aca="false">IF(E131="","",IF(F131="","Unpaid","Paid"))</f>
        <v/>
      </c>
    </row>
    <row r="132" customFormat="false" ht="15" hidden="false" customHeight="false" outlineLevel="0" collapsed="false">
      <c r="A132" s="15"/>
      <c r="B132" s="15"/>
      <c r="C132" s="15"/>
      <c r="D132" s="15"/>
      <c r="E132" s="23"/>
      <c r="F132" s="15"/>
      <c r="G132" s="22" t="str">
        <f aca="false">IF(E132="","",IF(F132="","Unpaid","Paid"))</f>
        <v/>
      </c>
    </row>
    <row r="133" customFormat="false" ht="15" hidden="false" customHeight="false" outlineLevel="0" collapsed="false">
      <c r="A133" s="15"/>
      <c r="B133" s="15"/>
      <c r="C133" s="15"/>
      <c r="D133" s="15"/>
      <c r="E133" s="23"/>
      <c r="F133" s="15"/>
      <c r="G133" s="22" t="str">
        <f aca="false">IF(E133="","",IF(F133="","Unpaid","Paid"))</f>
        <v/>
      </c>
    </row>
    <row r="134" customFormat="false" ht="15" hidden="false" customHeight="false" outlineLevel="0" collapsed="false">
      <c r="A134" s="15"/>
      <c r="B134" s="15"/>
      <c r="C134" s="15"/>
      <c r="D134" s="15"/>
      <c r="E134" s="23"/>
      <c r="F134" s="15"/>
      <c r="G134" s="22" t="str">
        <f aca="false">IF(E134="","",IF(F134="","Unpaid","Paid"))</f>
        <v/>
      </c>
    </row>
    <row r="135" customFormat="false" ht="15" hidden="false" customHeight="false" outlineLevel="0" collapsed="false">
      <c r="A135" s="15"/>
      <c r="B135" s="15"/>
      <c r="C135" s="15"/>
      <c r="D135" s="15"/>
      <c r="E135" s="23"/>
      <c r="F135" s="15"/>
      <c r="G135" s="22" t="str">
        <f aca="false">IF(E135="","",IF(F135="","Unpaid","Paid"))</f>
        <v/>
      </c>
    </row>
    <row r="136" customFormat="false" ht="15" hidden="false" customHeight="false" outlineLevel="0" collapsed="false">
      <c r="A136" s="15"/>
      <c r="B136" s="15"/>
      <c r="C136" s="15"/>
      <c r="D136" s="15"/>
      <c r="E136" s="23"/>
      <c r="F136" s="15"/>
      <c r="G136" s="22" t="str">
        <f aca="false">IF(E136="","",IF(F136="","Unpaid","Paid"))</f>
        <v/>
      </c>
    </row>
    <row r="137" customFormat="false" ht="15" hidden="false" customHeight="false" outlineLevel="0" collapsed="false">
      <c r="A137" s="15"/>
      <c r="B137" s="15"/>
      <c r="C137" s="15"/>
      <c r="D137" s="15"/>
      <c r="E137" s="23"/>
      <c r="F137" s="15"/>
      <c r="G137" s="22" t="str">
        <f aca="false">IF(E137="","",IF(F137="","Unpaid","Paid"))</f>
        <v/>
      </c>
    </row>
    <row r="138" customFormat="false" ht="15" hidden="false" customHeight="false" outlineLevel="0" collapsed="false">
      <c r="A138" s="15"/>
      <c r="B138" s="15"/>
      <c r="C138" s="15"/>
      <c r="D138" s="15"/>
      <c r="E138" s="23"/>
      <c r="F138" s="15"/>
      <c r="G138" s="22" t="str">
        <f aca="false">IF(E138="","",IF(F138="","Unpaid","Paid"))</f>
        <v/>
      </c>
    </row>
    <row r="139" customFormat="false" ht="15" hidden="false" customHeight="false" outlineLevel="0" collapsed="false">
      <c r="A139" s="15"/>
      <c r="B139" s="15"/>
      <c r="C139" s="15"/>
      <c r="D139" s="15"/>
      <c r="E139" s="23"/>
      <c r="F139" s="15"/>
      <c r="G139" s="22" t="str">
        <f aca="false">IF(E139="","",IF(F139="","Unpaid","Paid"))</f>
        <v/>
      </c>
    </row>
    <row r="140" customFormat="false" ht="15" hidden="false" customHeight="false" outlineLevel="0" collapsed="false">
      <c r="A140" s="15"/>
      <c r="B140" s="15"/>
      <c r="C140" s="15"/>
      <c r="D140" s="15"/>
      <c r="E140" s="23"/>
      <c r="F140" s="15"/>
      <c r="G140" s="22" t="str">
        <f aca="false">IF(E140="","",IF(F140="","Unpaid","Paid"))</f>
        <v/>
      </c>
    </row>
    <row r="141" customFormat="false" ht="15" hidden="false" customHeight="false" outlineLevel="0" collapsed="false">
      <c r="A141" s="15"/>
      <c r="B141" s="15"/>
      <c r="C141" s="15"/>
      <c r="D141" s="15"/>
      <c r="E141" s="23"/>
      <c r="F141" s="15"/>
      <c r="G141" s="22" t="str">
        <f aca="false">IF(E141="","",IF(F141="","Unpaid","Paid"))</f>
        <v/>
      </c>
    </row>
    <row r="142" customFormat="false" ht="15" hidden="false" customHeight="false" outlineLevel="0" collapsed="false">
      <c r="A142" s="15"/>
      <c r="B142" s="15"/>
      <c r="C142" s="15"/>
      <c r="D142" s="15"/>
      <c r="E142" s="23"/>
      <c r="F142" s="15"/>
      <c r="G142" s="22" t="str">
        <f aca="false">IF(E142="","",IF(F142="","Unpaid","Paid"))</f>
        <v/>
      </c>
    </row>
    <row r="143" customFormat="false" ht="15" hidden="false" customHeight="false" outlineLevel="0" collapsed="false">
      <c r="A143" s="15"/>
      <c r="B143" s="15"/>
      <c r="C143" s="15"/>
      <c r="D143" s="15"/>
      <c r="E143" s="23"/>
      <c r="F143" s="15"/>
      <c r="G143" s="22" t="str">
        <f aca="false">IF(E143="","",IF(F143="","Unpaid","Paid"))</f>
        <v/>
      </c>
    </row>
    <row r="144" customFormat="false" ht="15" hidden="false" customHeight="false" outlineLevel="0" collapsed="false">
      <c r="A144" s="15"/>
      <c r="B144" s="15"/>
      <c r="C144" s="15"/>
      <c r="D144" s="15"/>
      <c r="E144" s="23"/>
      <c r="F144" s="15"/>
      <c r="G144" s="22" t="str">
        <f aca="false">IF(E144="","",IF(F144="","Unpaid","Paid"))</f>
        <v/>
      </c>
    </row>
    <row r="145" customFormat="false" ht="15" hidden="false" customHeight="false" outlineLevel="0" collapsed="false">
      <c r="A145" s="15"/>
      <c r="B145" s="15"/>
      <c r="C145" s="15"/>
      <c r="D145" s="15"/>
      <c r="E145" s="23"/>
      <c r="F145" s="15"/>
      <c r="G145" s="22" t="str">
        <f aca="false">IF(E145="","",IF(F145="","Unpaid","Paid"))</f>
        <v/>
      </c>
    </row>
    <row r="146" customFormat="false" ht="15" hidden="false" customHeight="false" outlineLevel="0" collapsed="false">
      <c r="A146" s="15"/>
      <c r="B146" s="15"/>
      <c r="C146" s="15"/>
      <c r="D146" s="15"/>
      <c r="E146" s="23"/>
      <c r="F146" s="15"/>
      <c r="G146" s="22" t="str">
        <f aca="false">IF(E146="","",IF(F146="","Unpaid","Paid"))</f>
        <v/>
      </c>
    </row>
    <row r="147" customFormat="false" ht="15" hidden="false" customHeight="false" outlineLevel="0" collapsed="false">
      <c r="A147" s="15"/>
      <c r="B147" s="15"/>
      <c r="C147" s="15"/>
      <c r="D147" s="15"/>
      <c r="E147" s="23"/>
      <c r="F147" s="15"/>
      <c r="G147" s="22" t="str">
        <f aca="false">IF(E147="","",IF(F147="","Unpaid","Paid"))</f>
        <v/>
      </c>
    </row>
    <row r="148" customFormat="false" ht="15" hidden="false" customHeight="false" outlineLevel="0" collapsed="false">
      <c r="A148" s="15"/>
      <c r="B148" s="15"/>
      <c r="C148" s="15"/>
      <c r="D148" s="15"/>
      <c r="E148" s="23"/>
      <c r="F148" s="15"/>
      <c r="G148" s="22" t="str">
        <f aca="false">IF(E148="","",IF(F148="","Unpaid","Paid"))</f>
        <v/>
      </c>
    </row>
    <row r="149" customFormat="false" ht="15" hidden="false" customHeight="false" outlineLevel="0" collapsed="false">
      <c r="A149" s="15"/>
      <c r="B149" s="15"/>
      <c r="C149" s="15"/>
      <c r="D149" s="15"/>
      <c r="E149" s="23"/>
      <c r="F149" s="15"/>
      <c r="G149" s="22" t="str">
        <f aca="false">IF(E149="","",IF(F149="","Unpaid","Paid"))</f>
        <v/>
      </c>
    </row>
    <row r="150" customFormat="false" ht="15" hidden="false" customHeight="false" outlineLevel="0" collapsed="false">
      <c r="A150" s="15"/>
      <c r="B150" s="15"/>
      <c r="C150" s="15"/>
      <c r="D150" s="15"/>
      <c r="E150" s="23"/>
      <c r="F150" s="15"/>
      <c r="G150" s="22" t="str">
        <f aca="false">IF(E150="","",IF(F150="","Unpaid","Paid"))</f>
        <v/>
      </c>
    </row>
    <row r="151" customFormat="false" ht="15" hidden="false" customHeight="false" outlineLevel="0" collapsed="false">
      <c r="A151" s="15"/>
      <c r="B151" s="15"/>
      <c r="C151" s="15"/>
      <c r="D151" s="15"/>
      <c r="E151" s="23"/>
      <c r="F151" s="15"/>
      <c r="G151" s="22" t="str">
        <f aca="false">IF(E151="","",IF(F151="","Unpaid","Paid"))</f>
        <v/>
      </c>
    </row>
    <row r="152" customFormat="false" ht="15" hidden="false" customHeight="false" outlineLevel="0" collapsed="false">
      <c r="A152" s="15"/>
      <c r="B152" s="15"/>
      <c r="C152" s="15"/>
      <c r="D152" s="15"/>
      <c r="E152" s="23"/>
      <c r="F152" s="15"/>
      <c r="G152" s="22" t="str">
        <f aca="false">IF(E152="","",IF(F152="","Unpaid","Paid"))</f>
        <v/>
      </c>
    </row>
    <row r="153" customFormat="false" ht="15" hidden="false" customHeight="false" outlineLevel="0" collapsed="false">
      <c r="A153" s="15"/>
      <c r="B153" s="15"/>
      <c r="C153" s="15"/>
      <c r="D153" s="15"/>
      <c r="E153" s="23"/>
      <c r="F153" s="15"/>
      <c r="G153" s="22" t="str">
        <f aca="false">IF(E153="","",IF(F153="","Unpaid","Paid"))</f>
        <v/>
      </c>
    </row>
    <row r="154" customFormat="false" ht="15" hidden="false" customHeight="false" outlineLevel="0" collapsed="false">
      <c r="A154" s="15"/>
      <c r="B154" s="15"/>
      <c r="C154" s="15"/>
      <c r="D154" s="15"/>
      <c r="E154" s="23"/>
      <c r="F154" s="15"/>
      <c r="G154" s="22" t="str">
        <f aca="false">IF(E154="","",IF(F154="","Unpaid","Paid"))</f>
        <v/>
      </c>
    </row>
    <row r="155" customFormat="false" ht="15" hidden="false" customHeight="false" outlineLevel="0" collapsed="false">
      <c r="A155" s="15"/>
      <c r="B155" s="15"/>
      <c r="C155" s="15"/>
      <c r="D155" s="15"/>
      <c r="E155" s="23"/>
      <c r="F155" s="15"/>
      <c r="G155" s="22" t="str">
        <f aca="false">IF(E155="","",IF(F155="","Unpaid","Paid"))</f>
        <v/>
      </c>
    </row>
    <row r="156" customFormat="false" ht="15" hidden="false" customHeight="false" outlineLevel="0" collapsed="false">
      <c r="A156" s="15"/>
      <c r="B156" s="15"/>
      <c r="C156" s="15"/>
      <c r="D156" s="15"/>
      <c r="E156" s="23"/>
      <c r="F156" s="15"/>
      <c r="G156" s="22" t="str">
        <f aca="false">IF(E156="","",IF(F156="","Unpaid","Paid"))</f>
        <v/>
      </c>
    </row>
    <row r="157" customFormat="false" ht="15" hidden="false" customHeight="false" outlineLevel="0" collapsed="false">
      <c r="A157" s="15"/>
      <c r="B157" s="15"/>
      <c r="C157" s="15"/>
      <c r="D157" s="15"/>
      <c r="E157" s="23"/>
      <c r="F157" s="15"/>
      <c r="G157" s="22" t="str">
        <f aca="false">IF(E157="","",IF(F157="","Unpaid","Paid"))</f>
        <v/>
      </c>
    </row>
    <row r="158" customFormat="false" ht="15" hidden="false" customHeight="false" outlineLevel="0" collapsed="false">
      <c r="A158" s="15"/>
      <c r="B158" s="15"/>
      <c r="C158" s="15"/>
      <c r="D158" s="15"/>
      <c r="E158" s="23"/>
      <c r="F158" s="15"/>
      <c r="G158" s="22" t="str">
        <f aca="false">IF(E158="","",IF(F158="","Unpaid","Paid"))</f>
        <v/>
      </c>
    </row>
    <row r="159" customFormat="false" ht="15" hidden="false" customHeight="false" outlineLevel="0" collapsed="false">
      <c r="A159" s="15"/>
      <c r="B159" s="15"/>
      <c r="C159" s="15"/>
      <c r="D159" s="15"/>
      <c r="E159" s="23"/>
      <c r="F159" s="15"/>
      <c r="G159" s="22" t="str">
        <f aca="false">IF(E159="","",IF(F159="","Unpaid","Paid"))</f>
        <v/>
      </c>
    </row>
    <row r="160" customFormat="false" ht="15" hidden="false" customHeight="false" outlineLevel="0" collapsed="false">
      <c r="A160" s="15"/>
      <c r="B160" s="15"/>
      <c r="C160" s="15"/>
      <c r="D160" s="15"/>
      <c r="E160" s="23"/>
      <c r="F160" s="15"/>
      <c r="G160" s="22" t="str">
        <f aca="false">IF(E160="","",IF(F160="","Unpaid","Paid"))</f>
        <v/>
      </c>
    </row>
    <row r="161" customFormat="false" ht="15" hidden="false" customHeight="false" outlineLevel="0" collapsed="false">
      <c r="A161" s="15"/>
      <c r="B161" s="15"/>
      <c r="C161" s="15"/>
      <c r="D161" s="15"/>
      <c r="E161" s="23"/>
      <c r="F161" s="15"/>
      <c r="G161" s="22" t="str">
        <f aca="false">IF(E161="","",IF(F161="","Unpaid","Paid"))</f>
        <v/>
      </c>
    </row>
    <row r="162" customFormat="false" ht="15" hidden="false" customHeight="false" outlineLevel="0" collapsed="false">
      <c r="A162" s="15"/>
      <c r="B162" s="15"/>
      <c r="C162" s="15"/>
      <c r="D162" s="15"/>
      <c r="E162" s="23"/>
      <c r="F162" s="15"/>
      <c r="G162" s="22" t="str">
        <f aca="false">IF(E162="","",IF(F162="","Unpaid","Paid"))</f>
        <v/>
      </c>
    </row>
    <row r="163" customFormat="false" ht="15" hidden="false" customHeight="false" outlineLevel="0" collapsed="false">
      <c r="A163" s="15"/>
      <c r="B163" s="15"/>
      <c r="C163" s="15"/>
      <c r="D163" s="15"/>
      <c r="E163" s="23"/>
      <c r="F163" s="15"/>
      <c r="G163" s="22" t="str">
        <f aca="false">IF(E163="","",IF(F163="","Unpaid","Paid"))</f>
        <v/>
      </c>
    </row>
    <row r="164" customFormat="false" ht="15" hidden="false" customHeight="false" outlineLevel="0" collapsed="false">
      <c r="A164" s="15"/>
      <c r="B164" s="15"/>
      <c r="C164" s="15"/>
      <c r="D164" s="15"/>
      <c r="E164" s="23"/>
      <c r="F164" s="15"/>
      <c r="G164" s="22" t="str">
        <f aca="false">IF(E164="","",IF(F164="","Unpaid","Paid"))</f>
        <v/>
      </c>
    </row>
    <row r="165" customFormat="false" ht="15" hidden="false" customHeight="false" outlineLevel="0" collapsed="false">
      <c r="A165" s="15"/>
      <c r="B165" s="15"/>
      <c r="C165" s="15"/>
      <c r="D165" s="15"/>
      <c r="E165" s="23"/>
      <c r="F165" s="15"/>
      <c r="G165" s="22" t="str">
        <f aca="false">IF(E165="","",IF(F165="","Unpaid","Paid"))</f>
        <v/>
      </c>
    </row>
    <row r="166" customFormat="false" ht="15" hidden="false" customHeight="false" outlineLevel="0" collapsed="false">
      <c r="A166" s="15"/>
      <c r="B166" s="15"/>
      <c r="C166" s="15"/>
      <c r="D166" s="15"/>
      <c r="E166" s="23"/>
      <c r="F166" s="15"/>
      <c r="G166" s="22" t="str">
        <f aca="false">IF(E166="","",IF(F166="","Unpaid","Paid"))</f>
        <v/>
      </c>
    </row>
    <row r="167" customFormat="false" ht="15" hidden="false" customHeight="false" outlineLevel="0" collapsed="false">
      <c r="A167" s="15"/>
      <c r="B167" s="15"/>
      <c r="C167" s="15"/>
      <c r="D167" s="15"/>
      <c r="E167" s="23"/>
      <c r="F167" s="15"/>
      <c r="G167" s="22" t="str">
        <f aca="false">IF(E167="","",IF(F167="","Unpaid","Paid"))</f>
        <v/>
      </c>
    </row>
    <row r="168" customFormat="false" ht="15" hidden="false" customHeight="false" outlineLevel="0" collapsed="false">
      <c r="A168" s="15"/>
      <c r="B168" s="15"/>
      <c r="C168" s="15"/>
      <c r="D168" s="15"/>
      <c r="E168" s="23"/>
      <c r="F168" s="15"/>
      <c r="G168" s="22" t="str">
        <f aca="false">IF(E168="","",IF(F168="","Unpaid","Paid"))</f>
        <v/>
      </c>
    </row>
    <row r="169" customFormat="false" ht="15" hidden="false" customHeight="false" outlineLevel="0" collapsed="false">
      <c r="A169" s="15"/>
      <c r="B169" s="15"/>
      <c r="C169" s="15"/>
      <c r="D169" s="15"/>
      <c r="E169" s="23"/>
      <c r="F169" s="15"/>
      <c r="G169" s="22" t="str">
        <f aca="false">IF(E169="","",IF(F169="","Unpaid","Paid"))</f>
        <v/>
      </c>
    </row>
    <row r="170" customFormat="false" ht="15" hidden="false" customHeight="false" outlineLevel="0" collapsed="false">
      <c r="A170" s="15"/>
      <c r="B170" s="15"/>
      <c r="C170" s="15"/>
      <c r="D170" s="15"/>
      <c r="E170" s="23"/>
      <c r="F170" s="15"/>
      <c r="G170" s="22" t="str">
        <f aca="false">IF(E170="","",IF(F170="","Unpaid","Paid"))</f>
        <v/>
      </c>
    </row>
    <row r="171" customFormat="false" ht="15" hidden="false" customHeight="false" outlineLevel="0" collapsed="false">
      <c r="A171" s="15"/>
      <c r="B171" s="15"/>
      <c r="C171" s="15"/>
      <c r="D171" s="15"/>
      <c r="E171" s="23"/>
      <c r="F171" s="15"/>
      <c r="G171" s="22" t="str">
        <f aca="false">IF(E171="","",IF(F171="","Unpaid","Paid"))</f>
        <v/>
      </c>
    </row>
    <row r="172" customFormat="false" ht="15" hidden="false" customHeight="false" outlineLevel="0" collapsed="false">
      <c r="A172" s="15"/>
      <c r="B172" s="15"/>
      <c r="C172" s="15"/>
      <c r="D172" s="15"/>
      <c r="E172" s="23"/>
      <c r="F172" s="15"/>
      <c r="G172" s="22" t="str">
        <f aca="false">IF(E172="","",IF(F172="","Unpaid","Paid"))</f>
        <v/>
      </c>
    </row>
    <row r="173" customFormat="false" ht="15" hidden="false" customHeight="false" outlineLevel="0" collapsed="false">
      <c r="A173" s="15"/>
      <c r="B173" s="15"/>
      <c r="C173" s="15"/>
      <c r="D173" s="15"/>
      <c r="E173" s="23"/>
      <c r="F173" s="15"/>
      <c r="G173" s="22" t="str">
        <f aca="false">IF(E173="","",IF(F173="","Unpaid","Paid"))</f>
        <v/>
      </c>
    </row>
    <row r="174" customFormat="false" ht="15" hidden="false" customHeight="false" outlineLevel="0" collapsed="false">
      <c r="A174" s="15"/>
      <c r="B174" s="15"/>
      <c r="C174" s="15"/>
      <c r="D174" s="15"/>
      <c r="E174" s="23"/>
      <c r="F174" s="15"/>
      <c r="G174" s="22" t="str">
        <f aca="false">IF(E174="","",IF(F174="","Unpaid","Paid"))</f>
        <v/>
      </c>
    </row>
    <row r="175" customFormat="false" ht="15" hidden="false" customHeight="false" outlineLevel="0" collapsed="false">
      <c r="A175" s="15"/>
      <c r="B175" s="15"/>
      <c r="C175" s="15"/>
      <c r="D175" s="15"/>
      <c r="E175" s="23"/>
      <c r="F175" s="15"/>
      <c r="G175" s="22" t="str">
        <f aca="false">IF(E175="","",IF(F175="","Unpaid","Paid"))</f>
        <v/>
      </c>
    </row>
    <row r="176" customFormat="false" ht="15" hidden="false" customHeight="false" outlineLevel="0" collapsed="false">
      <c r="A176" s="15"/>
      <c r="B176" s="15"/>
      <c r="C176" s="15"/>
      <c r="D176" s="15"/>
      <c r="E176" s="23"/>
      <c r="F176" s="15"/>
      <c r="G176" s="22" t="str">
        <f aca="false">IF(E176="","",IF(F176="","Unpaid","Paid"))</f>
        <v/>
      </c>
    </row>
    <row r="177" customFormat="false" ht="15" hidden="false" customHeight="false" outlineLevel="0" collapsed="false">
      <c r="A177" s="15"/>
      <c r="B177" s="15"/>
      <c r="C177" s="15"/>
      <c r="D177" s="15"/>
      <c r="E177" s="23"/>
      <c r="F177" s="15"/>
      <c r="G177" s="22" t="str">
        <f aca="false">IF(E177="","",IF(F177="","Unpaid","Paid"))</f>
        <v/>
      </c>
    </row>
    <row r="178" customFormat="false" ht="15" hidden="false" customHeight="false" outlineLevel="0" collapsed="false">
      <c r="A178" s="15"/>
      <c r="B178" s="15"/>
      <c r="C178" s="15"/>
      <c r="D178" s="15"/>
      <c r="E178" s="23"/>
      <c r="F178" s="15"/>
      <c r="G178" s="22" t="str">
        <f aca="false">IF(E178="","",IF(F178="","Unpaid","Paid"))</f>
        <v/>
      </c>
    </row>
    <row r="179" customFormat="false" ht="15" hidden="false" customHeight="false" outlineLevel="0" collapsed="false">
      <c r="A179" s="15"/>
      <c r="B179" s="15"/>
      <c r="C179" s="15"/>
      <c r="D179" s="15"/>
      <c r="E179" s="23"/>
      <c r="F179" s="15"/>
      <c r="G179" s="22" t="str">
        <f aca="false">IF(E179="","",IF(F179="","Unpaid","Paid"))</f>
        <v/>
      </c>
    </row>
    <row r="180" customFormat="false" ht="15" hidden="false" customHeight="false" outlineLevel="0" collapsed="false">
      <c r="A180" s="15"/>
      <c r="B180" s="15"/>
      <c r="C180" s="15"/>
      <c r="D180" s="15"/>
      <c r="E180" s="23"/>
      <c r="F180" s="15"/>
      <c r="G180" s="22" t="str">
        <f aca="false">IF(E180="","",IF(F180="","Unpaid","Paid"))</f>
        <v/>
      </c>
    </row>
    <row r="181" customFormat="false" ht="15" hidden="false" customHeight="false" outlineLevel="0" collapsed="false">
      <c r="A181" s="15"/>
      <c r="B181" s="15"/>
      <c r="C181" s="15"/>
      <c r="D181" s="15"/>
      <c r="E181" s="23"/>
      <c r="F181" s="15"/>
      <c r="G181" s="22" t="str">
        <f aca="false">IF(E181="","",IF(F181="","Unpaid","Paid"))</f>
        <v/>
      </c>
    </row>
    <row r="182" customFormat="false" ht="15" hidden="false" customHeight="false" outlineLevel="0" collapsed="false">
      <c r="A182" s="15"/>
      <c r="B182" s="15"/>
      <c r="C182" s="15"/>
      <c r="D182" s="15"/>
      <c r="E182" s="23"/>
      <c r="F182" s="15"/>
      <c r="G182" s="22" t="str">
        <f aca="false">IF(E182="","",IF(F182="","Unpaid","Paid"))</f>
        <v/>
      </c>
    </row>
    <row r="183" customFormat="false" ht="15" hidden="false" customHeight="false" outlineLevel="0" collapsed="false">
      <c r="A183" s="15"/>
      <c r="B183" s="15"/>
      <c r="C183" s="15"/>
      <c r="D183" s="15"/>
      <c r="E183" s="23"/>
      <c r="F183" s="15"/>
      <c r="G183" s="22" t="str">
        <f aca="false">IF(E183="","",IF(F183="","Unpaid","Paid"))</f>
        <v/>
      </c>
    </row>
    <row r="184" customFormat="false" ht="15" hidden="false" customHeight="false" outlineLevel="0" collapsed="false">
      <c r="A184" s="15"/>
      <c r="B184" s="15"/>
      <c r="C184" s="15"/>
      <c r="D184" s="15"/>
      <c r="E184" s="23"/>
      <c r="F184" s="15"/>
      <c r="G184" s="22" t="str">
        <f aca="false">IF(E184="","",IF(F184="","Unpaid","Paid"))</f>
        <v/>
      </c>
    </row>
    <row r="185" customFormat="false" ht="15" hidden="false" customHeight="false" outlineLevel="0" collapsed="false">
      <c r="A185" s="15"/>
      <c r="B185" s="15"/>
      <c r="C185" s="15"/>
      <c r="D185" s="15"/>
      <c r="E185" s="23"/>
      <c r="F185" s="15"/>
      <c r="G185" s="22" t="str">
        <f aca="false">IF(E185="","",IF(F185="","Unpaid","Paid"))</f>
        <v/>
      </c>
    </row>
    <row r="186" customFormat="false" ht="15" hidden="false" customHeight="false" outlineLevel="0" collapsed="false">
      <c r="A186" s="15"/>
      <c r="B186" s="15"/>
      <c r="C186" s="15"/>
      <c r="D186" s="15"/>
      <c r="E186" s="23"/>
      <c r="F186" s="15"/>
      <c r="G186" s="22" t="str">
        <f aca="false">IF(E186="","",IF(F186="","Unpaid","Paid"))</f>
        <v/>
      </c>
    </row>
    <row r="187" customFormat="false" ht="15" hidden="false" customHeight="false" outlineLevel="0" collapsed="false">
      <c r="A187" s="15"/>
      <c r="B187" s="15"/>
      <c r="C187" s="15"/>
      <c r="D187" s="15"/>
      <c r="E187" s="23"/>
      <c r="F187" s="15"/>
      <c r="G187" s="22" t="str">
        <f aca="false">IF(E187="","",IF(F187="","Unpaid","Paid"))</f>
        <v/>
      </c>
    </row>
    <row r="188" customFormat="false" ht="15" hidden="false" customHeight="false" outlineLevel="0" collapsed="false">
      <c r="A188" s="15"/>
      <c r="B188" s="15"/>
      <c r="C188" s="15"/>
      <c r="D188" s="15"/>
      <c r="E188" s="23"/>
      <c r="F188" s="15"/>
      <c r="G188" s="22" t="str">
        <f aca="false">IF(E188="","",IF(F188="","Unpaid","Paid"))</f>
        <v/>
      </c>
    </row>
    <row r="189" customFormat="false" ht="15" hidden="false" customHeight="false" outlineLevel="0" collapsed="false">
      <c r="A189" s="15"/>
      <c r="B189" s="15"/>
      <c r="C189" s="15"/>
      <c r="D189" s="15"/>
      <c r="E189" s="23"/>
      <c r="F189" s="15"/>
      <c r="G189" s="22" t="str">
        <f aca="false">IF(E189="","",IF(F189="","Unpaid","Paid"))</f>
        <v/>
      </c>
    </row>
    <row r="190" customFormat="false" ht="15" hidden="false" customHeight="false" outlineLevel="0" collapsed="false">
      <c r="A190" s="15"/>
      <c r="B190" s="15"/>
      <c r="C190" s="15"/>
      <c r="D190" s="15"/>
      <c r="E190" s="23"/>
      <c r="F190" s="15"/>
      <c r="G190" s="22" t="str">
        <f aca="false">IF(E190="","",IF(F190="","Unpaid","Paid"))</f>
        <v/>
      </c>
    </row>
    <row r="191" customFormat="false" ht="15" hidden="false" customHeight="false" outlineLevel="0" collapsed="false">
      <c r="A191" s="15"/>
      <c r="B191" s="15"/>
      <c r="C191" s="15"/>
      <c r="D191" s="15"/>
      <c r="E191" s="23"/>
      <c r="F191" s="15"/>
      <c r="G191" s="22" t="str">
        <f aca="false">IF(E191="","",IF(F191="","Unpaid","Paid"))</f>
        <v/>
      </c>
    </row>
    <row r="192" customFormat="false" ht="15" hidden="false" customHeight="false" outlineLevel="0" collapsed="false">
      <c r="A192" s="15"/>
      <c r="B192" s="15"/>
      <c r="C192" s="15"/>
      <c r="D192" s="15"/>
      <c r="E192" s="23"/>
      <c r="F192" s="15"/>
      <c r="G192" s="22" t="str">
        <f aca="false">IF(E192="","",IF(F192="","Unpaid","Paid"))</f>
        <v/>
      </c>
    </row>
    <row r="193" customFormat="false" ht="15" hidden="false" customHeight="false" outlineLevel="0" collapsed="false">
      <c r="A193" s="15"/>
      <c r="B193" s="15"/>
      <c r="C193" s="15"/>
      <c r="D193" s="15"/>
      <c r="E193" s="23"/>
      <c r="F193" s="15"/>
      <c r="G193" s="22" t="str">
        <f aca="false">IF(E193="","",IF(F193="","Unpaid","Paid"))</f>
        <v/>
      </c>
    </row>
    <row r="194" customFormat="false" ht="15" hidden="false" customHeight="false" outlineLevel="0" collapsed="false">
      <c r="A194" s="15"/>
      <c r="B194" s="15"/>
      <c r="C194" s="15"/>
      <c r="D194" s="15"/>
      <c r="E194" s="23"/>
      <c r="F194" s="15"/>
      <c r="G194" s="22" t="str">
        <f aca="false">IF(E194="","",IF(F194="","Unpaid","Paid"))</f>
        <v/>
      </c>
    </row>
    <row r="195" customFormat="false" ht="15" hidden="false" customHeight="false" outlineLevel="0" collapsed="false">
      <c r="A195" s="15"/>
      <c r="B195" s="15"/>
      <c r="C195" s="15"/>
      <c r="D195" s="15"/>
      <c r="E195" s="23"/>
      <c r="F195" s="15"/>
      <c r="G195" s="22" t="str">
        <f aca="false">IF(E195="","",IF(F195="","Unpaid","Paid"))</f>
        <v/>
      </c>
    </row>
    <row r="196" customFormat="false" ht="15" hidden="false" customHeight="false" outlineLevel="0" collapsed="false">
      <c r="A196" s="15"/>
      <c r="B196" s="15"/>
      <c r="C196" s="15"/>
      <c r="D196" s="15"/>
      <c r="E196" s="23"/>
      <c r="F196" s="15"/>
      <c r="G196" s="22" t="str">
        <f aca="false">IF(E196="","",IF(F196="","Unpaid","Paid"))</f>
        <v/>
      </c>
    </row>
    <row r="197" customFormat="false" ht="15" hidden="false" customHeight="false" outlineLevel="0" collapsed="false">
      <c r="A197" s="15"/>
      <c r="B197" s="15"/>
      <c r="C197" s="15"/>
      <c r="D197" s="15"/>
      <c r="E197" s="23"/>
      <c r="F197" s="15"/>
      <c r="G197" s="22" t="str">
        <f aca="false">IF(E197="","",IF(F197="","Unpaid","Paid"))</f>
        <v/>
      </c>
    </row>
    <row r="198" customFormat="false" ht="15" hidden="false" customHeight="false" outlineLevel="0" collapsed="false">
      <c r="A198" s="15"/>
      <c r="B198" s="15"/>
      <c r="C198" s="15"/>
      <c r="D198" s="15"/>
      <c r="E198" s="23"/>
      <c r="F198" s="15"/>
      <c r="G198" s="22" t="str">
        <f aca="false">IF(E198="","",IF(F198="","Unpaid","Paid"))</f>
        <v/>
      </c>
    </row>
    <row r="199" customFormat="false" ht="15" hidden="false" customHeight="false" outlineLevel="0" collapsed="false">
      <c r="A199" s="15"/>
      <c r="B199" s="15"/>
      <c r="C199" s="15"/>
      <c r="D199" s="15"/>
      <c r="E199" s="23"/>
      <c r="F199" s="15"/>
      <c r="G199" s="22" t="str">
        <f aca="false">IF(E199="","",IF(F199="","Unpaid","Paid"))</f>
        <v/>
      </c>
    </row>
    <row r="200" customFormat="false" ht="15" hidden="false" customHeight="false" outlineLevel="0" collapsed="false">
      <c r="A200" s="15"/>
      <c r="B200" s="15"/>
      <c r="C200" s="15"/>
      <c r="D200" s="15"/>
      <c r="E200" s="23"/>
      <c r="F200" s="15"/>
      <c r="G200" s="22" t="str">
        <f aca="false">IF(E200="","",IF(F200="","Unpaid","Paid"))</f>
        <v/>
      </c>
    </row>
    <row r="201" customFormat="false" ht="15" hidden="false" customHeight="false" outlineLevel="0" collapsed="false">
      <c r="A201" s="15"/>
      <c r="B201" s="15"/>
      <c r="C201" s="15"/>
      <c r="D201" s="15"/>
      <c r="E201" s="23"/>
      <c r="F201" s="15"/>
      <c r="G201" s="22" t="str">
        <f aca="false">IF(E201="","",IF(F201="","Unpaid","Paid"))</f>
        <v/>
      </c>
    </row>
    <row r="202" customFormat="false" ht="15" hidden="false" customHeight="false" outlineLevel="0" collapsed="false">
      <c r="A202" s="15"/>
      <c r="B202" s="15"/>
      <c r="C202" s="15"/>
      <c r="D202" s="15"/>
      <c r="E202" s="23"/>
      <c r="F202" s="15"/>
      <c r="G202" s="22" t="str">
        <f aca="false">IF(E202="","",IF(F202="","Unpaid","Paid"))</f>
        <v/>
      </c>
    </row>
    <row r="203" customFormat="false" ht="15" hidden="false" customHeight="false" outlineLevel="0" collapsed="false">
      <c r="A203" s="15"/>
      <c r="B203" s="15"/>
      <c r="C203" s="15"/>
      <c r="D203" s="15"/>
      <c r="E203" s="23"/>
      <c r="F203" s="15"/>
      <c r="G203" s="22" t="str">
        <f aca="false">IF(E203="","",IF(F203="","Unpaid","Paid"))</f>
        <v/>
      </c>
    </row>
    <row r="204" customFormat="false" ht="15" hidden="false" customHeight="false" outlineLevel="0" collapsed="false">
      <c r="A204" s="15"/>
      <c r="B204" s="15"/>
      <c r="C204" s="15"/>
      <c r="D204" s="15"/>
      <c r="E204" s="23"/>
      <c r="F204" s="15"/>
      <c r="G204" s="22" t="str">
        <f aca="false">IF(E204="","",IF(F204="","Unpaid","Paid"))</f>
        <v/>
      </c>
    </row>
    <row r="205" customFormat="false" ht="15" hidden="false" customHeight="false" outlineLevel="0" collapsed="false">
      <c r="A205" s="15"/>
      <c r="B205" s="15"/>
      <c r="C205" s="15"/>
      <c r="D205" s="15"/>
      <c r="E205" s="23"/>
      <c r="F205" s="15"/>
      <c r="G205" s="22" t="str">
        <f aca="false">IF(E205="","",IF(F205="","Unpaid","Paid"))</f>
        <v/>
      </c>
    </row>
    <row r="206" customFormat="false" ht="15" hidden="false" customHeight="false" outlineLevel="0" collapsed="false">
      <c r="A206" s="15"/>
      <c r="B206" s="15"/>
      <c r="C206" s="15"/>
      <c r="D206" s="15"/>
      <c r="E206" s="23"/>
      <c r="F206" s="15"/>
      <c r="G206" s="22" t="str">
        <f aca="false">IF(E206="","",IF(F206="","Unpaid","Paid"))</f>
        <v/>
      </c>
    </row>
    <row r="207" customFormat="false" ht="15" hidden="false" customHeight="false" outlineLevel="0" collapsed="false">
      <c r="A207" s="15"/>
      <c r="B207" s="15"/>
      <c r="C207" s="15"/>
      <c r="D207" s="15"/>
      <c r="E207" s="23"/>
      <c r="F207" s="15"/>
      <c r="G207" s="22" t="str">
        <f aca="false">IF(E207="","",IF(F207="","Unpaid","Paid"))</f>
        <v/>
      </c>
    </row>
    <row r="208" customFormat="false" ht="15" hidden="false" customHeight="false" outlineLevel="0" collapsed="false">
      <c r="A208" s="15"/>
      <c r="B208" s="15"/>
      <c r="C208" s="15"/>
      <c r="D208" s="15"/>
      <c r="E208" s="23"/>
      <c r="F208" s="15"/>
      <c r="G208" s="22" t="str">
        <f aca="false">IF(E208="","",IF(F208="","Unpaid","Paid"))</f>
        <v/>
      </c>
    </row>
    <row r="209" customFormat="false" ht="15" hidden="false" customHeight="false" outlineLevel="0" collapsed="false">
      <c r="A209" s="15"/>
      <c r="B209" s="15"/>
      <c r="C209" s="15"/>
      <c r="D209" s="15"/>
      <c r="E209" s="23"/>
      <c r="F209" s="15"/>
      <c r="G209" s="22" t="str">
        <f aca="false">IF(E209="","",IF(F209="","Unpaid","Paid"))</f>
        <v/>
      </c>
    </row>
    <row r="210" customFormat="false" ht="15" hidden="false" customHeight="false" outlineLevel="0" collapsed="false">
      <c r="A210" s="15"/>
      <c r="B210" s="15"/>
      <c r="C210" s="15"/>
      <c r="D210" s="15"/>
      <c r="E210" s="23"/>
      <c r="F210" s="15"/>
      <c r="G210" s="22" t="str">
        <f aca="false">IF(E210="","",IF(F210="","Unpaid","Paid"))</f>
        <v/>
      </c>
    </row>
    <row r="211" customFormat="false" ht="15" hidden="false" customHeight="false" outlineLevel="0" collapsed="false">
      <c r="A211" s="15"/>
      <c r="B211" s="15"/>
      <c r="C211" s="15"/>
      <c r="D211" s="15"/>
      <c r="E211" s="23"/>
      <c r="F211" s="15"/>
      <c r="G211" s="22" t="str">
        <f aca="false">IF(E211="","",IF(F211="","Unpaid","Paid"))</f>
        <v/>
      </c>
    </row>
    <row r="212" customFormat="false" ht="15" hidden="false" customHeight="false" outlineLevel="0" collapsed="false">
      <c r="A212" s="15"/>
      <c r="B212" s="15"/>
      <c r="C212" s="15"/>
      <c r="D212" s="15"/>
      <c r="E212" s="23"/>
      <c r="F212" s="15"/>
      <c r="G212" s="22" t="str">
        <f aca="false">IF(E212="","",IF(F212="","Unpaid","Paid"))</f>
        <v/>
      </c>
    </row>
    <row r="213" customFormat="false" ht="15" hidden="false" customHeight="false" outlineLevel="0" collapsed="false">
      <c r="A213" s="15"/>
      <c r="B213" s="15"/>
      <c r="C213" s="15"/>
      <c r="D213" s="15"/>
      <c r="E213" s="23"/>
      <c r="F213" s="15"/>
      <c r="G213" s="22" t="str">
        <f aca="false">IF(E213="","",IF(F213="","Unpaid","Paid"))</f>
        <v/>
      </c>
    </row>
    <row r="214" customFormat="false" ht="15" hidden="false" customHeight="false" outlineLevel="0" collapsed="false">
      <c r="A214" s="15"/>
      <c r="B214" s="15"/>
      <c r="C214" s="15"/>
      <c r="D214" s="15"/>
      <c r="E214" s="23"/>
      <c r="F214" s="15"/>
      <c r="G214" s="22" t="str">
        <f aca="false">IF(E214="","",IF(F214="","Unpaid","Paid"))</f>
        <v/>
      </c>
    </row>
    <row r="215" customFormat="false" ht="15" hidden="false" customHeight="false" outlineLevel="0" collapsed="false">
      <c r="A215" s="15"/>
      <c r="B215" s="15"/>
      <c r="C215" s="15"/>
      <c r="D215" s="15"/>
      <c r="E215" s="23"/>
      <c r="F215" s="15"/>
      <c r="G215" s="22" t="str">
        <f aca="false">IF(E215="","",IF(F215="","Unpaid","Paid"))</f>
        <v/>
      </c>
    </row>
    <row r="216" customFormat="false" ht="15" hidden="false" customHeight="false" outlineLevel="0" collapsed="false">
      <c r="A216" s="15"/>
      <c r="B216" s="15"/>
      <c r="C216" s="15"/>
      <c r="D216" s="15"/>
      <c r="E216" s="23"/>
      <c r="F216" s="15"/>
      <c r="G216" s="22" t="str">
        <f aca="false">IF(E216="","",IF(F216="","Unpaid","Paid"))</f>
        <v/>
      </c>
    </row>
    <row r="217" customFormat="false" ht="15" hidden="false" customHeight="false" outlineLevel="0" collapsed="false">
      <c r="A217" s="15"/>
      <c r="B217" s="15"/>
      <c r="C217" s="15"/>
      <c r="D217" s="15"/>
      <c r="E217" s="23"/>
      <c r="F217" s="15"/>
      <c r="G217" s="22" t="str">
        <f aca="false">IF(E217="","",IF(F217="","Unpaid","Paid"))</f>
        <v/>
      </c>
    </row>
    <row r="218" customFormat="false" ht="15" hidden="false" customHeight="false" outlineLevel="0" collapsed="false">
      <c r="A218" s="15"/>
      <c r="B218" s="15"/>
      <c r="C218" s="15"/>
      <c r="D218" s="15"/>
      <c r="E218" s="23"/>
      <c r="F218" s="15"/>
      <c r="G218" s="22" t="str">
        <f aca="false">IF(E218="","",IF(F218="","Unpaid","Paid"))</f>
        <v/>
      </c>
    </row>
    <row r="219" customFormat="false" ht="15" hidden="false" customHeight="false" outlineLevel="0" collapsed="false">
      <c r="A219" s="15"/>
      <c r="B219" s="15"/>
      <c r="C219" s="15"/>
      <c r="D219" s="15"/>
      <c r="E219" s="23"/>
      <c r="F219" s="15"/>
      <c r="G219" s="22" t="str">
        <f aca="false">IF(E219="","",IF(F219="","Unpaid","Paid"))</f>
        <v/>
      </c>
    </row>
    <row r="220" customFormat="false" ht="15" hidden="false" customHeight="false" outlineLevel="0" collapsed="false">
      <c r="A220" s="15"/>
      <c r="B220" s="15"/>
      <c r="C220" s="15"/>
      <c r="D220" s="15"/>
      <c r="E220" s="23"/>
      <c r="F220" s="15"/>
      <c r="G220" s="22" t="str">
        <f aca="false">IF(E220="","",IF(F220="","Unpaid","Paid"))</f>
        <v/>
      </c>
    </row>
    <row r="221" customFormat="false" ht="15" hidden="false" customHeight="false" outlineLevel="0" collapsed="false">
      <c r="A221" s="15"/>
      <c r="B221" s="15"/>
      <c r="C221" s="15"/>
      <c r="D221" s="15"/>
      <c r="E221" s="23"/>
      <c r="F221" s="15"/>
      <c r="G221" s="22" t="str">
        <f aca="false">IF(E221="","",IF(F221="","Unpaid","Paid"))</f>
        <v/>
      </c>
    </row>
    <row r="222" customFormat="false" ht="15" hidden="false" customHeight="false" outlineLevel="0" collapsed="false">
      <c r="A222" s="15"/>
      <c r="B222" s="15"/>
      <c r="C222" s="15"/>
      <c r="D222" s="15"/>
      <c r="E222" s="23"/>
      <c r="F222" s="15"/>
      <c r="G222" s="22" t="str">
        <f aca="false">IF(E222="","",IF(F222="","Unpaid","Paid"))</f>
        <v/>
      </c>
    </row>
    <row r="223" customFormat="false" ht="15" hidden="false" customHeight="false" outlineLevel="0" collapsed="false">
      <c r="A223" s="15"/>
      <c r="B223" s="15"/>
      <c r="C223" s="15"/>
      <c r="D223" s="15"/>
      <c r="E223" s="23"/>
      <c r="F223" s="15"/>
      <c r="G223" s="22" t="str">
        <f aca="false">IF(E223="","",IF(F223="","Unpaid","Paid"))</f>
        <v/>
      </c>
    </row>
    <row r="224" customFormat="false" ht="15" hidden="false" customHeight="false" outlineLevel="0" collapsed="false">
      <c r="A224" s="15"/>
      <c r="B224" s="15"/>
      <c r="C224" s="15"/>
      <c r="D224" s="15"/>
      <c r="E224" s="23"/>
      <c r="F224" s="15"/>
      <c r="G224" s="22" t="str">
        <f aca="false">IF(E224="","",IF(F224="","Unpaid","Paid"))</f>
        <v/>
      </c>
    </row>
    <row r="225" customFormat="false" ht="15" hidden="false" customHeight="false" outlineLevel="0" collapsed="false">
      <c r="A225" s="15"/>
      <c r="B225" s="15"/>
      <c r="C225" s="15"/>
      <c r="D225" s="15"/>
      <c r="E225" s="23"/>
      <c r="F225" s="15"/>
      <c r="G225" s="22" t="str">
        <f aca="false">IF(E225="","",IF(F225="","Unpaid","Paid"))</f>
        <v/>
      </c>
    </row>
    <row r="226" customFormat="false" ht="15" hidden="false" customHeight="false" outlineLevel="0" collapsed="false">
      <c r="A226" s="15"/>
      <c r="B226" s="15"/>
      <c r="C226" s="15"/>
      <c r="D226" s="15"/>
      <c r="E226" s="23"/>
      <c r="F226" s="15"/>
      <c r="G226" s="22" t="str">
        <f aca="false">IF(E226="","",IF(F226="","Unpaid","Paid"))</f>
        <v/>
      </c>
    </row>
    <row r="227" customFormat="false" ht="15" hidden="false" customHeight="false" outlineLevel="0" collapsed="false">
      <c r="A227" s="15"/>
      <c r="B227" s="15"/>
      <c r="C227" s="15"/>
      <c r="D227" s="15"/>
      <c r="E227" s="23"/>
      <c r="F227" s="15"/>
      <c r="G227" s="22" t="str">
        <f aca="false">IF(E227="","",IF(F227="","Unpaid","Paid"))</f>
        <v/>
      </c>
    </row>
    <row r="228" customFormat="false" ht="15" hidden="false" customHeight="false" outlineLevel="0" collapsed="false">
      <c r="A228" s="15"/>
      <c r="B228" s="15"/>
      <c r="C228" s="15"/>
      <c r="D228" s="15"/>
      <c r="E228" s="23"/>
      <c r="F228" s="15"/>
      <c r="G228" s="22" t="str">
        <f aca="false">IF(E228="","",IF(F228="","Unpaid","Paid"))</f>
        <v/>
      </c>
    </row>
    <row r="229" customFormat="false" ht="15" hidden="false" customHeight="false" outlineLevel="0" collapsed="false">
      <c r="A229" s="15"/>
      <c r="B229" s="15"/>
      <c r="C229" s="15"/>
      <c r="D229" s="15"/>
      <c r="E229" s="23"/>
      <c r="F229" s="15"/>
      <c r="G229" s="22" t="str">
        <f aca="false">IF(E229="","",IF(F229="","Unpaid","Paid"))</f>
        <v/>
      </c>
    </row>
    <row r="230" customFormat="false" ht="15" hidden="false" customHeight="false" outlineLevel="0" collapsed="false">
      <c r="A230" s="15"/>
      <c r="B230" s="15"/>
      <c r="C230" s="15"/>
      <c r="D230" s="15"/>
      <c r="E230" s="23"/>
      <c r="F230" s="15"/>
      <c r="G230" s="22" t="str">
        <f aca="false">IF(E230="","",IF(F230="","Unpaid","Paid"))</f>
        <v/>
      </c>
    </row>
    <row r="231" customFormat="false" ht="15" hidden="false" customHeight="false" outlineLevel="0" collapsed="false">
      <c r="A231" s="15"/>
      <c r="B231" s="15"/>
      <c r="C231" s="15"/>
      <c r="D231" s="15"/>
      <c r="E231" s="23"/>
      <c r="F231" s="15"/>
      <c r="G231" s="22" t="str">
        <f aca="false">IF(E231="","",IF(F231="","Unpaid","Paid"))</f>
        <v/>
      </c>
    </row>
    <row r="232" customFormat="false" ht="15" hidden="false" customHeight="false" outlineLevel="0" collapsed="false">
      <c r="A232" s="15"/>
      <c r="B232" s="15"/>
      <c r="C232" s="15"/>
      <c r="D232" s="15"/>
      <c r="E232" s="23"/>
      <c r="F232" s="15"/>
      <c r="G232" s="22" t="str">
        <f aca="false">IF(E232="","",IF(F232="","Unpaid","Paid"))</f>
        <v/>
      </c>
    </row>
    <row r="233" customFormat="false" ht="15" hidden="false" customHeight="false" outlineLevel="0" collapsed="false">
      <c r="A233" s="15"/>
      <c r="B233" s="15"/>
      <c r="C233" s="15"/>
      <c r="D233" s="15"/>
      <c r="E233" s="23"/>
      <c r="F233" s="15"/>
      <c r="G233" s="22" t="str">
        <f aca="false">IF(E233="","",IF(F233="","Unpaid","Paid"))</f>
        <v/>
      </c>
    </row>
    <row r="234" customFormat="false" ht="15" hidden="false" customHeight="false" outlineLevel="0" collapsed="false">
      <c r="A234" s="15"/>
      <c r="B234" s="15"/>
      <c r="C234" s="15"/>
      <c r="D234" s="15"/>
      <c r="E234" s="23"/>
      <c r="F234" s="15"/>
      <c r="G234" s="22" t="str">
        <f aca="false">IF(E234="","",IF(F234="","Unpaid","Paid"))</f>
        <v/>
      </c>
    </row>
    <row r="235" customFormat="false" ht="15" hidden="false" customHeight="false" outlineLevel="0" collapsed="false">
      <c r="A235" s="15"/>
      <c r="B235" s="15"/>
      <c r="C235" s="15"/>
      <c r="D235" s="15"/>
      <c r="E235" s="23"/>
      <c r="F235" s="15"/>
      <c r="G235" s="22" t="str">
        <f aca="false">IF(E235="","",IF(F235="","Unpaid","Paid"))</f>
        <v/>
      </c>
    </row>
    <row r="236" customFormat="false" ht="15" hidden="false" customHeight="false" outlineLevel="0" collapsed="false">
      <c r="A236" s="15"/>
      <c r="B236" s="15"/>
      <c r="C236" s="15"/>
      <c r="D236" s="15"/>
      <c r="E236" s="23"/>
      <c r="F236" s="15"/>
      <c r="G236" s="22" t="str">
        <f aca="false">IF(E236="","",IF(F236="","Unpaid","Paid"))</f>
        <v/>
      </c>
    </row>
    <row r="237" customFormat="false" ht="15" hidden="false" customHeight="false" outlineLevel="0" collapsed="false">
      <c r="A237" s="15"/>
      <c r="B237" s="15"/>
      <c r="C237" s="15"/>
      <c r="D237" s="15"/>
      <c r="E237" s="23"/>
      <c r="F237" s="15"/>
      <c r="G237" s="22" t="str">
        <f aca="false">IF(E237="","",IF(F237="","Unpaid","Paid"))</f>
        <v/>
      </c>
    </row>
    <row r="238" customFormat="false" ht="15" hidden="false" customHeight="false" outlineLevel="0" collapsed="false">
      <c r="A238" s="15"/>
      <c r="B238" s="15"/>
      <c r="C238" s="15"/>
      <c r="D238" s="15"/>
      <c r="E238" s="23"/>
      <c r="F238" s="15"/>
      <c r="G238" s="22" t="str">
        <f aca="false">IF(E238="","",IF(F238="","Unpaid","Paid"))</f>
        <v/>
      </c>
    </row>
    <row r="239" customFormat="false" ht="15" hidden="false" customHeight="false" outlineLevel="0" collapsed="false">
      <c r="A239" s="15"/>
      <c r="B239" s="15"/>
      <c r="C239" s="15"/>
      <c r="D239" s="15"/>
      <c r="E239" s="23"/>
      <c r="F239" s="15"/>
      <c r="G239" s="22" t="str">
        <f aca="false">IF(E239="","",IF(F239="","Unpaid","Paid"))</f>
        <v/>
      </c>
    </row>
    <row r="240" customFormat="false" ht="15" hidden="false" customHeight="false" outlineLevel="0" collapsed="false">
      <c r="A240" s="15"/>
      <c r="B240" s="15"/>
      <c r="C240" s="15"/>
      <c r="D240" s="15"/>
      <c r="E240" s="23"/>
      <c r="F240" s="15"/>
      <c r="G240" s="22" t="str">
        <f aca="false">IF(E240="","",IF(F240="","Unpaid","Paid"))</f>
        <v/>
      </c>
    </row>
    <row r="241" customFormat="false" ht="15" hidden="false" customHeight="false" outlineLevel="0" collapsed="false">
      <c r="A241" s="15"/>
      <c r="B241" s="15"/>
      <c r="C241" s="15"/>
      <c r="D241" s="15"/>
      <c r="E241" s="23"/>
      <c r="F241" s="15"/>
      <c r="G241" s="22" t="str">
        <f aca="false">IF(E241="","",IF(F241="","Unpaid","Paid"))</f>
        <v/>
      </c>
    </row>
    <row r="242" customFormat="false" ht="15" hidden="false" customHeight="false" outlineLevel="0" collapsed="false">
      <c r="A242" s="15"/>
      <c r="B242" s="15"/>
      <c r="C242" s="15"/>
      <c r="D242" s="15"/>
      <c r="E242" s="23"/>
      <c r="F242" s="15"/>
      <c r="G242" s="22" t="str">
        <f aca="false">IF(E242="","",IF(F242="","Unpaid","Paid"))</f>
        <v/>
      </c>
    </row>
    <row r="243" customFormat="false" ht="15" hidden="false" customHeight="false" outlineLevel="0" collapsed="false">
      <c r="A243" s="15"/>
      <c r="B243" s="15"/>
      <c r="C243" s="15"/>
      <c r="D243" s="15"/>
      <c r="E243" s="23"/>
      <c r="F243" s="15"/>
      <c r="G243" s="22" t="str">
        <f aca="false">IF(E243="","",IF(F243="","Unpaid","Paid"))</f>
        <v/>
      </c>
    </row>
    <row r="244" customFormat="false" ht="15" hidden="false" customHeight="false" outlineLevel="0" collapsed="false">
      <c r="A244" s="15"/>
      <c r="B244" s="15"/>
      <c r="C244" s="15"/>
      <c r="D244" s="15"/>
      <c r="E244" s="23"/>
      <c r="F244" s="15"/>
      <c r="G244" s="22" t="str">
        <f aca="false">IF(E244="","",IF(F244="","Unpaid","Paid"))</f>
        <v/>
      </c>
    </row>
    <row r="245" customFormat="false" ht="15" hidden="false" customHeight="false" outlineLevel="0" collapsed="false">
      <c r="A245" s="15"/>
      <c r="B245" s="15"/>
      <c r="C245" s="15"/>
      <c r="D245" s="15"/>
      <c r="E245" s="23"/>
      <c r="F245" s="15"/>
      <c r="G245" s="22" t="str">
        <f aca="false">IF(E245="","",IF(F245="","Unpaid","Paid"))</f>
        <v/>
      </c>
    </row>
    <row r="246" customFormat="false" ht="15" hidden="false" customHeight="false" outlineLevel="0" collapsed="false">
      <c r="A246" s="15"/>
      <c r="B246" s="15"/>
      <c r="C246" s="15"/>
      <c r="D246" s="15"/>
      <c r="E246" s="23"/>
      <c r="F246" s="15"/>
      <c r="G246" s="22" t="str">
        <f aca="false">IF(E246="","",IF(F246="","Unpaid","Paid"))</f>
        <v/>
      </c>
    </row>
    <row r="247" customFormat="false" ht="15" hidden="false" customHeight="false" outlineLevel="0" collapsed="false">
      <c r="A247" s="15"/>
      <c r="B247" s="15"/>
      <c r="C247" s="15"/>
      <c r="D247" s="15"/>
      <c r="E247" s="23"/>
      <c r="F247" s="15"/>
      <c r="G247" s="22" t="str">
        <f aca="false">IF(E247="","",IF(F247="","Unpaid","Paid"))</f>
        <v/>
      </c>
    </row>
    <row r="248" customFormat="false" ht="15" hidden="false" customHeight="false" outlineLevel="0" collapsed="false">
      <c r="A248" s="15"/>
      <c r="B248" s="15"/>
      <c r="C248" s="15"/>
      <c r="D248" s="15"/>
      <c r="E248" s="23"/>
      <c r="F248" s="15"/>
      <c r="G248" s="22" t="str">
        <f aca="false">IF(E248="","",IF(F248="","Unpaid","Paid"))</f>
        <v/>
      </c>
    </row>
    <row r="249" customFormat="false" ht="15" hidden="false" customHeight="false" outlineLevel="0" collapsed="false">
      <c r="A249" s="15"/>
      <c r="B249" s="15"/>
      <c r="C249" s="15"/>
      <c r="D249" s="15"/>
      <c r="E249" s="23"/>
      <c r="F249" s="15"/>
      <c r="G249" s="22" t="str">
        <f aca="false">IF(E249="","",IF(F249="","Unpaid","Paid"))</f>
        <v/>
      </c>
    </row>
    <row r="250" customFormat="false" ht="15" hidden="false" customHeight="false" outlineLevel="0" collapsed="false">
      <c r="A250" s="15"/>
      <c r="B250" s="15"/>
      <c r="C250" s="15"/>
      <c r="D250" s="15"/>
      <c r="E250" s="23"/>
      <c r="F250" s="15"/>
      <c r="G250" s="22" t="str">
        <f aca="false">IF(E250="","",IF(F250="","Unpaid","Paid"))</f>
        <v/>
      </c>
    </row>
    <row r="251" customFormat="false" ht="15" hidden="false" customHeight="false" outlineLevel="0" collapsed="false">
      <c r="A251" s="15"/>
      <c r="B251" s="15"/>
      <c r="C251" s="15"/>
      <c r="D251" s="15"/>
      <c r="E251" s="23"/>
      <c r="F251" s="15"/>
      <c r="G251" s="22" t="str">
        <f aca="false">IF(E251="","",IF(F251="","Unpaid","Paid"))</f>
        <v/>
      </c>
    </row>
    <row r="252" customFormat="false" ht="15" hidden="false" customHeight="false" outlineLevel="0" collapsed="false">
      <c r="A252" s="15"/>
      <c r="B252" s="15"/>
      <c r="C252" s="15"/>
      <c r="D252" s="15"/>
      <c r="E252" s="23"/>
      <c r="F252" s="15"/>
      <c r="G252" s="22" t="str">
        <f aca="false">IF(E252="","",IF(F252="","Unpaid","Paid"))</f>
        <v/>
      </c>
    </row>
    <row r="253" customFormat="false" ht="15" hidden="false" customHeight="false" outlineLevel="0" collapsed="false">
      <c r="A253" s="15"/>
      <c r="B253" s="15"/>
      <c r="C253" s="15"/>
      <c r="D253" s="15"/>
      <c r="E253" s="23"/>
      <c r="F253" s="15"/>
      <c r="G253" s="22" t="str">
        <f aca="false">IF(E253="","",IF(F253="","Unpaid","Paid"))</f>
        <v/>
      </c>
    </row>
    <row r="254" customFormat="false" ht="15" hidden="false" customHeight="false" outlineLevel="0" collapsed="false">
      <c r="A254" s="15"/>
      <c r="B254" s="15"/>
      <c r="C254" s="15"/>
      <c r="D254" s="15"/>
      <c r="E254" s="23"/>
      <c r="F254" s="15"/>
      <c r="G254" s="22" t="str">
        <f aca="false">IF(E254="","",IF(F254="","Unpaid","Paid"))</f>
        <v/>
      </c>
    </row>
    <row r="255" customFormat="false" ht="15" hidden="false" customHeight="false" outlineLevel="0" collapsed="false">
      <c r="A255" s="15"/>
      <c r="B255" s="15"/>
      <c r="C255" s="15"/>
      <c r="D255" s="15"/>
      <c r="E255" s="23"/>
      <c r="F255" s="15"/>
      <c r="G255" s="22" t="str">
        <f aca="false">IF(E255="","",IF(F255="","Unpaid","Paid"))</f>
        <v/>
      </c>
    </row>
    <row r="256" customFormat="false" ht="15" hidden="false" customHeight="false" outlineLevel="0" collapsed="false">
      <c r="A256" s="15"/>
      <c r="B256" s="15"/>
      <c r="C256" s="15"/>
      <c r="D256" s="15"/>
      <c r="E256" s="23"/>
      <c r="F256" s="15"/>
      <c r="G256" s="22" t="str">
        <f aca="false">IF(E256="","",IF(F256="","Unpaid","Paid"))</f>
        <v/>
      </c>
    </row>
    <row r="257" customFormat="false" ht="15" hidden="false" customHeight="false" outlineLevel="0" collapsed="false">
      <c r="A257" s="15"/>
      <c r="B257" s="15"/>
      <c r="C257" s="15"/>
      <c r="D257" s="15"/>
      <c r="E257" s="23"/>
      <c r="F257" s="15"/>
      <c r="G257" s="22" t="str">
        <f aca="false">IF(E257="","",IF(F257="","Unpaid","Paid"))</f>
        <v/>
      </c>
    </row>
    <row r="258" customFormat="false" ht="15" hidden="false" customHeight="false" outlineLevel="0" collapsed="false">
      <c r="A258" s="15"/>
      <c r="B258" s="15"/>
      <c r="C258" s="15"/>
      <c r="D258" s="15"/>
      <c r="E258" s="23"/>
      <c r="F258" s="15"/>
      <c r="G258" s="22" t="str">
        <f aca="false">IF(E258="","",IF(F258="","Unpaid","Paid"))</f>
        <v/>
      </c>
    </row>
    <row r="259" customFormat="false" ht="15" hidden="false" customHeight="false" outlineLevel="0" collapsed="false">
      <c r="A259" s="15"/>
      <c r="B259" s="15"/>
      <c r="C259" s="15"/>
      <c r="D259" s="15"/>
      <c r="E259" s="23"/>
      <c r="F259" s="15"/>
      <c r="G259" s="22" t="str">
        <f aca="false">IF(E259="","",IF(F259="","Unpaid","Paid"))</f>
        <v/>
      </c>
    </row>
    <row r="260" customFormat="false" ht="15" hidden="false" customHeight="false" outlineLevel="0" collapsed="false">
      <c r="A260" s="15"/>
      <c r="B260" s="15"/>
      <c r="C260" s="15"/>
      <c r="D260" s="15"/>
      <c r="E260" s="23"/>
      <c r="F260" s="15"/>
      <c r="G260" s="22" t="str">
        <f aca="false">IF(E260="","",IF(F260="","Unpaid","Paid"))</f>
        <v/>
      </c>
    </row>
    <row r="261" customFormat="false" ht="15" hidden="false" customHeight="false" outlineLevel="0" collapsed="false">
      <c r="A261" s="15"/>
      <c r="B261" s="15"/>
      <c r="C261" s="15"/>
      <c r="D261" s="15"/>
      <c r="E261" s="23"/>
      <c r="F261" s="15"/>
      <c r="G261" s="22" t="str">
        <f aca="false">IF(E261="","",IF(F261="","Unpaid","Paid"))</f>
        <v/>
      </c>
    </row>
    <row r="262" customFormat="false" ht="15" hidden="false" customHeight="false" outlineLevel="0" collapsed="false">
      <c r="A262" s="15"/>
      <c r="B262" s="15"/>
      <c r="C262" s="15"/>
      <c r="D262" s="15"/>
      <c r="E262" s="23"/>
      <c r="F262" s="15"/>
      <c r="G262" s="22" t="str">
        <f aca="false">IF(E262="","",IF(F262="","Unpaid","Paid"))</f>
        <v/>
      </c>
    </row>
    <row r="263" customFormat="false" ht="15" hidden="false" customHeight="false" outlineLevel="0" collapsed="false">
      <c r="A263" s="15"/>
      <c r="B263" s="15"/>
      <c r="C263" s="15"/>
      <c r="D263" s="15"/>
      <c r="E263" s="23"/>
      <c r="F263" s="15"/>
      <c r="G263" s="22" t="str">
        <f aca="false">IF(E263="","",IF(F263="","Unpaid","Paid"))</f>
        <v/>
      </c>
    </row>
    <row r="264" customFormat="false" ht="15" hidden="false" customHeight="false" outlineLevel="0" collapsed="false">
      <c r="A264" s="15"/>
      <c r="B264" s="15"/>
      <c r="C264" s="15"/>
      <c r="D264" s="15"/>
      <c r="E264" s="23"/>
      <c r="F264" s="15"/>
      <c r="G264" s="22" t="str">
        <f aca="false">IF(E264="","",IF(F264="","Unpaid","Paid"))</f>
        <v/>
      </c>
    </row>
    <row r="265" customFormat="false" ht="15" hidden="false" customHeight="false" outlineLevel="0" collapsed="false">
      <c r="A265" s="15"/>
      <c r="B265" s="15"/>
      <c r="C265" s="15"/>
      <c r="D265" s="15"/>
      <c r="E265" s="23"/>
      <c r="F265" s="15"/>
      <c r="G265" s="22" t="str">
        <f aca="false">IF(E265="","",IF(F265="","Unpaid","Paid"))</f>
        <v/>
      </c>
    </row>
    <row r="266" customFormat="false" ht="15" hidden="false" customHeight="false" outlineLevel="0" collapsed="false">
      <c r="A266" s="15"/>
      <c r="B266" s="15"/>
      <c r="C266" s="15"/>
      <c r="D266" s="15"/>
      <c r="E266" s="23"/>
      <c r="F266" s="15"/>
      <c r="G266" s="22" t="str">
        <f aca="false">IF(E266="","",IF(F266="","Unpaid","Paid"))</f>
        <v/>
      </c>
    </row>
    <row r="267" customFormat="false" ht="15" hidden="false" customHeight="false" outlineLevel="0" collapsed="false">
      <c r="A267" s="15"/>
      <c r="B267" s="15"/>
      <c r="C267" s="15"/>
      <c r="D267" s="15"/>
      <c r="E267" s="23"/>
      <c r="F267" s="15"/>
      <c r="G267" s="22" t="str">
        <f aca="false">IF(E267="","",IF(F267="","Unpaid","Paid"))</f>
        <v/>
      </c>
    </row>
    <row r="268" customFormat="false" ht="15" hidden="false" customHeight="false" outlineLevel="0" collapsed="false">
      <c r="A268" s="15"/>
      <c r="B268" s="15"/>
      <c r="C268" s="15"/>
      <c r="D268" s="15"/>
      <c r="E268" s="23"/>
      <c r="F268" s="15"/>
      <c r="G268" s="22" t="str">
        <f aca="false">IF(E268="","",IF(F268="","Unpaid","Paid"))</f>
        <v/>
      </c>
    </row>
    <row r="269" customFormat="false" ht="15" hidden="false" customHeight="false" outlineLevel="0" collapsed="false">
      <c r="A269" s="15"/>
      <c r="B269" s="15"/>
      <c r="C269" s="15"/>
      <c r="D269" s="15"/>
      <c r="E269" s="23"/>
      <c r="F269" s="15"/>
      <c r="G269" s="22" t="str">
        <f aca="false">IF(E269="","",IF(F269="","Unpaid","Paid"))</f>
        <v/>
      </c>
    </row>
    <row r="270" customFormat="false" ht="15" hidden="false" customHeight="false" outlineLevel="0" collapsed="false">
      <c r="A270" s="15"/>
      <c r="B270" s="15"/>
      <c r="C270" s="15"/>
      <c r="D270" s="15"/>
      <c r="E270" s="23"/>
      <c r="F270" s="15"/>
      <c r="G270" s="22" t="str">
        <f aca="false">IF(E270="","",IF(F270="","Unpaid","Paid"))</f>
        <v/>
      </c>
    </row>
    <row r="271" customFormat="false" ht="15" hidden="false" customHeight="false" outlineLevel="0" collapsed="false">
      <c r="A271" s="15"/>
      <c r="B271" s="15"/>
      <c r="C271" s="15"/>
      <c r="D271" s="15"/>
      <c r="E271" s="23"/>
      <c r="F271" s="15"/>
      <c r="G271" s="22" t="str">
        <f aca="false">IF(E271="","",IF(F271="","Unpaid","Paid"))</f>
        <v/>
      </c>
    </row>
    <row r="272" customFormat="false" ht="15" hidden="false" customHeight="false" outlineLevel="0" collapsed="false">
      <c r="A272" s="15"/>
      <c r="B272" s="15"/>
      <c r="C272" s="15"/>
      <c r="D272" s="15"/>
      <c r="E272" s="23"/>
      <c r="F272" s="15"/>
      <c r="G272" s="22" t="str">
        <f aca="false">IF(E272="","",IF(F272="","Unpaid","Paid"))</f>
        <v/>
      </c>
    </row>
    <row r="273" customFormat="false" ht="15" hidden="false" customHeight="false" outlineLevel="0" collapsed="false">
      <c r="A273" s="15"/>
      <c r="B273" s="15"/>
      <c r="C273" s="15"/>
      <c r="D273" s="15"/>
      <c r="E273" s="23"/>
      <c r="F273" s="15"/>
      <c r="G273" s="22" t="str">
        <f aca="false">IF(E273="","",IF(F273="","Unpaid","Paid"))</f>
        <v/>
      </c>
    </row>
    <row r="274" customFormat="false" ht="15" hidden="false" customHeight="false" outlineLevel="0" collapsed="false">
      <c r="A274" s="15"/>
      <c r="B274" s="15"/>
      <c r="C274" s="15"/>
      <c r="D274" s="15"/>
      <c r="E274" s="23"/>
      <c r="F274" s="15"/>
      <c r="G274" s="22" t="str">
        <f aca="false">IF(E274="","",IF(F274="","Unpaid","Paid"))</f>
        <v/>
      </c>
    </row>
    <row r="275" customFormat="false" ht="15" hidden="false" customHeight="false" outlineLevel="0" collapsed="false">
      <c r="A275" s="15"/>
      <c r="B275" s="15"/>
      <c r="C275" s="15"/>
      <c r="D275" s="15"/>
      <c r="E275" s="23"/>
      <c r="F275" s="15"/>
      <c r="G275" s="22" t="str">
        <f aca="false">IF(E275="","",IF(F275="","Unpaid","Paid"))</f>
        <v/>
      </c>
    </row>
    <row r="276" customFormat="false" ht="15" hidden="false" customHeight="false" outlineLevel="0" collapsed="false">
      <c r="A276" s="15"/>
      <c r="B276" s="15"/>
      <c r="C276" s="15"/>
      <c r="D276" s="15"/>
      <c r="E276" s="23"/>
      <c r="F276" s="15"/>
      <c r="G276" s="22" t="str">
        <f aca="false">IF(E276="","",IF(F276="","Unpaid","Paid"))</f>
        <v/>
      </c>
    </row>
    <row r="277" customFormat="false" ht="15" hidden="false" customHeight="false" outlineLevel="0" collapsed="false">
      <c r="A277" s="15"/>
      <c r="B277" s="15"/>
      <c r="C277" s="15"/>
      <c r="D277" s="15"/>
      <c r="E277" s="23"/>
      <c r="F277" s="15"/>
      <c r="G277" s="22" t="str">
        <f aca="false">IF(E277="","",IF(F277="","Unpaid","Paid"))</f>
        <v/>
      </c>
    </row>
    <row r="278" customFormat="false" ht="15" hidden="false" customHeight="false" outlineLevel="0" collapsed="false">
      <c r="A278" s="15"/>
      <c r="B278" s="15"/>
      <c r="C278" s="15"/>
      <c r="D278" s="15"/>
      <c r="E278" s="23"/>
      <c r="F278" s="15"/>
      <c r="G278" s="22" t="str">
        <f aca="false">IF(E278="","",IF(F278="","Unpaid","Paid"))</f>
        <v/>
      </c>
    </row>
    <row r="279" customFormat="false" ht="15" hidden="false" customHeight="false" outlineLevel="0" collapsed="false">
      <c r="A279" s="15"/>
      <c r="B279" s="15"/>
      <c r="C279" s="15"/>
      <c r="D279" s="15"/>
      <c r="E279" s="23"/>
      <c r="F279" s="15"/>
      <c r="G279" s="22" t="str">
        <f aca="false">IF(E279="","",IF(F279="","Unpaid","Paid"))</f>
        <v/>
      </c>
    </row>
    <row r="280" customFormat="false" ht="15" hidden="false" customHeight="false" outlineLevel="0" collapsed="false">
      <c r="A280" s="15"/>
      <c r="B280" s="15"/>
      <c r="C280" s="15"/>
      <c r="D280" s="15"/>
      <c r="E280" s="23"/>
      <c r="F280" s="15"/>
      <c r="G280" s="22" t="str">
        <f aca="false">IF(E280="","",IF(F280="","Unpaid","Paid"))</f>
        <v/>
      </c>
    </row>
    <row r="281" customFormat="false" ht="15" hidden="false" customHeight="false" outlineLevel="0" collapsed="false">
      <c r="A281" s="15"/>
      <c r="B281" s="15"/>
      <c r="C281" s="15"/>
      <c r="D281" s="15"/>
      <c r="E281" s="23"/>
      <c r="F281" s="15"/>
      <c r="G281" s="22" t="str">
        <f aca="false">IF(E281="","",IF(F281="","Unpaid","Paid"))</f>
        <v/>
      </c>
    </row>
    <row r="282" customFormat="false" ht="15" hidden="false" customHeight="false" outlineLevel="0" collapsed="false">
      <c r="A282" s="15"/>
      <c r="B282" s="15"/>
      <c r="C282" s="15"/>
      <c r="D282" s="15"/>
      <c r="E282" s="23"/>
      <c r="F282" s="15"/>
      <c r="G282" s="22" t="str">
        <f aca="false">IF(E282="","",IF(F282="","Unpaid","Paid"))</f>
        <v/>
      </c>
    </row>
    <row r="283" customFormat="false" ht="15" hidden="false" customHeight="false" outlineLevel="0" collapsed="false">
      <c r="A283" s="15"/>
      <c r="B283" s="15"/>
      <c r="C283" s="15"/>
      <c r="D283" s="15"/>
      <c r="E283" s="23"/>
      <c r="F283" s="15"/>
      <c r="G283" s="22" t="str">
        <f aca="false">IF(E283="","",IF(F283="","Unpaid","Paid"))</f>
        <v/>
      </c>
    </row>
    <row r="284" customFormat="false" ht="15" hidden="false" customHeight="false" outlineLevel="0" collapsed="false">
      <c r="A284" s="15"/>
      <c r="B284" s="15"/>
      <c r="C284" s="15"/>
      <c r="D284" s="15"/>
      <c r="E284" s="23"/>
      <c r="F284" s="15"/>
      <c r="G284" s="22" t="str">
        <f aca="false">IF(E284="","",IF(F284="","Unpaid","Paid"))</f>
        <v/>
      </c>
    </row>
    <row r="285" customFormat="false" ht="15" hidden="false" customHeight="false" outlineLevel="0" collapsed="false">
      <c r="A285" s="15"/>
      <c r="B285" s="15"/>
      <c r="C285" s="15"/>
      <c r="D285" s="15"/>
      <c r="E285" s="23"/>
      <c r="F285" s="15"/>
      <c r="G285" s="22" t="str">
        <f aca="false">IF(E285="","",IF(F285="","Unpaid","Paid"))</f>
        <v/>
      </c>
    </row>
    <row r="286" customFormat="false" ht="15" hidden="false" customHeight="false" outlineLevel="0" collapsed="false">
      <c r="A286" s="15"/>
      <c r="B286" s="15"/>
      <c r="C286" s="15"/>
      <c r="D286" s="15"/>
      <c r="E286" s="23"/>
      <c r="F286" s="15"/>
      <c r="G286" s="22" t="str">
        <f aca="false">IF(E286="","",IF(F286="","Unpaid","Paid"))</f>
        <v/>
      </c>
    </row>
    <row r="287" customFormat="false" ht="15" hidden="false" customHeight="false" outlineLevel="0" collapsed="false">
      <c r="A287" s="15"/>
      <c r="B287" s="15"/>
      <c r="C287" s="15"/>
      <c r="D287" s="15"/>
      <c r="E287" s="23"/>
      <c r="F287" s="15"/>
      <c r="G287" s="22" t="str">
        <f aca="false">IF(E287="","",IF(F287="","Unpaid","Paid"))</f>
        <v/>
      </c>
    </row>
    <row r="288" customFormat="false" ht="15" hidden="false" customHeight="false" outlineLevel="0" collapsed="false">
      <c r="A288" s="15"/>
      <c r="B288" s="15"/>
      <c r="C288" s="15"/>
      <c r="D288" s="15"/>
      <c r="E288" s="23"/>
      <c r="F288" s="15"/>
      <c r="G288" s="22" t="str">
        <f aca="false">IF(E288="","",IF(F288="","Unpaid","Paid"))</f>
        <v/>
      </c>
    </row>
    <row r="289" customFormat="false" ht="15" hidden="false" customHeight="false" outlineLevel="0" collapsed="false">
      <c r="A289" s="15"/>
      <c r="B289" s="15"/>
      <c r="C289" s="15"/>
      <c r="D289" s="15"/>
      <c r="E289" s="23"/>
      <c r="F289" s="15"/>
      <c r="G289" s="22" t="str">
        <f aca="false">IF(E289="","",IF(F289="","Unpaid","Paid"))</f>
        <v/>
      </c>
    </row>
    <row r="290" customFormat="false" ht="15" hidden="false" customHeight="false" outlineLevel="0" collapsed="false">
      <c r="A290" s="15"/>
      <c r="B290" s="15"/>
      <c r="C290" s="15"/>
      <c r="D290" s="15"/>
      <c r="E290" s="23"/>
      <c r="F290" s="15"/>
      <c r="G290" s="22" t="str">
        <f aca="false">IF(E290="","",IF(F290="","Unpaid","Paid"))</f>
        <v/>
      </c>
    </row>
    <row r="291" customFormat="false" ht="15" hidden="false" customHeight="false" outlineLevel="0" collapsed="false">
      <c r="A291" s="15"/>
      <c r="B291" s="15"/>
      <c r="C291" s="15"/>
      <c r="D291" s="15"/>
      <c r="E291" s="23"/>
      <c r="F291" s="15"/>
      <c r="G291" s="22" t="str">
        <f aca="false">IF(E291="","",IF(F291="","Unpaid","Paid"))</f>
        <v/>
      </c>
    </row>
    <row r="292" customFormat="false" ht="15" hidden="false" customHeight="false" outlineLevel="0" collapsed="false">
      <c r="A292" s="15"/>
      <c r="B292" s="15"/>
      <c r="C292" s="15"/>
      <c r="D292" s="15"/>
      <c r="E292" s="23"/>
      <c r="F292" s="15"/>
      <c r="G292" s="22" t="str">
        <f aca="false">IF(E292="","",IF(F292="","Unpaid","Paid"))</f>
        <v/>
      </c>
    </row>
    <row r="293" customFormat="false" ht="15" hidden="false" customHeight="false" outlineLevel="0" collapsed="false">
      <c r="A293" s="15"/>
      <c r="B293" s="15"/>
      <c r="C293" s="15"/>
      <c r="D293" s="15"/>
      <c r="E293" s="23"/>
      <c r="F293" s="15"/>
      <c r="G293" s="22" t="str">
        <f aca="false">IF(E293="","",IF(F293="","Unpaid","Paid"))</f>
        <v/>
      </c>
    </row>
    <row r="294" customFormat="false" ht="15" hidden="false" customHeight="false" outlineLevel="0" collapsed="false">
      <c r="A294" s="15"/>
      <c r="B294" s="15"/>
      <c r="C294" s="15"/>
      <c r="D294" s="15"/>
      <c r="E294" s="23"/>
      <c r="F294" s="15"/>
      <c r="G294" s="22" t="str">
        <f aca="false">IF(E294="","",IF(F294="","Unpaid","Paid"))</f>
        <v/>
      </c>
    </row>
    <row r="295" customFormat="false" ht="15" hidden="false" customHeight="false" outlineLevel="0" collapsed="false">
      <c r="A295" s="15"/>
      <c r="B295" s="15"/>
      <c r="C295" s="15"/>
      <c r="D295" s="15"/>
      <c r="E295" s="23"/>
      <c r="F295" s="15"/>
      <c r="G295" s="22" t="str">
        <f aca="false">IF(E295="","",IF(F295="","Unpaid","Paid"))</f>
        <v/>
      </c>
    </row>
    <row r="296" customFormat="false" ht="15" hidden="false" customHeight="false" outlineLevel="0" collapsed="false">
      <c r="A296" s="15"/>
      <c r="B296" s="15"/>
      <c r="C296" s="15"/>
      <c r="D296" s="15"/>
      <c r="E296" s="23"/>
      <c r="F296" s="15"/>
      <c r="G296" s="22" t="str">
        <f aca="false">IF(E296="","",IF(F296="","Unpaid","Paid"))</f>
        <v/>
      </c>
    </row>
    <row r="297" customFormat="false" ht="15" hidden="false" customHeight="false" outlineLevel="0" collapsed="false">
      <c r="A297" s="15"/>
      <c r="B297" s="15"/>
      <c r="C297" s="15"/>
      <c r="D297" s="15"/>
      <c r="E297" s="23"/>
      <c r="F297" s="15"/>
      <c r="G297" s="22" t="str">
        <f aca="false">IF(E297="","",IF(F297="","Unpaid","Paid"))</f>
        <v/>
      </c>
    </row>
    <row r="298" customFormat="false" ht="15" hidden="false" customHeight="false" outlineLevel="0" collapsed="false">
      <c r="A298" s="15"/>
      <c r="B298" s="15"/>
      <c r="C298" s="15"/>
      <c r="D298" s="15"/>
      <c r="E298" s="23"/>
      <c r="F298" s="15"/>
      <c r="G298" s="22" t="str">
        <f aca="false">IF(E298="","",IF(F298="","Unpaid","Paid"))</f>
        <v/>
      </c>
    </row>
    <row r="299" customFormat="false" ht="15" hidden="false" customHeight="false" outlineLevel="0" collapsed="false">
      <c r="A299" s="15"/>
      <c r="B299" s="15"/>
      <c r="C299" s="15"/>
      <c r="D299" s="15"/>
      <c r="E299" s="23"/>
      <c r="F299" s="15"/>
      <c r="G299" s="22" t="str">
        <f aca="false">IF(E299="","",IF(F299="","Unpaid","Paid"))</f>
        <v/>
      </c>
    </row>
    <row r="300" customFormat="false" ht="15" hidden="false" customHeight="false" outlineLevel="0" collapsed="false">
      <c r="A300" s="15"/>
      <c r="B300" s="15"/>
      <c r="C300" s="15"/>
      <c r="D300" s="15"/>
      <c r="E300" s="23"/>
      <c r="F300" s="15"/>
      <c r="G300" s="22" t="str">
        <f aca="false">IF(E300="","",IF(F300="","Unpaid","Paid"))</f>
        <v/>
      </c>
    </row>
    <row r="301" customFormat="false" ht="15" hidden="false" customHeight="false" outlineLevel="0" collapsed="false">
      <c r="A301" s="15"/>
      <c r="B301" s="15"/>
      <c r="C301" s="15"/>
      <c r="D301" s="15"/>
      <c r="E301" s="23"/>
      <c r="F301" s="15"/>
      <c r="G301" s="22" t="str">
        <f aca="false">IF(E301="","",IF(F301="","Unpaid","Paid"))</f>
        <v/>
      </c>
    </row>
    <row r="302" customFormat="false" ht="15" hidden="false" customHeight="false" outlineLevel="0" collapsed="false">
      <c r="A302" s="15"/>
      <c r="B302" s="15"/>
      <c r="C302" s="15"/>
      <c r="D302" s="15"/>
      <c r="E302" s="23"/>
      <c r="F302" s="15"/>
      <c r="G302" s="22" t="str">
        <f aca="false">IF(E302="","",IF(F302="","Unpaid","Paid"))</f>
        <v/>
      </c>
    </row>
    <row r="303" customFormat="false" ht="15" hidden="false" customHeight="false" outlineLevel="0" collapsed="false">
      <c r="A303" s="15"/>
      <c r="B303" s="15"/>
      <c r="C303" s="15"/>
      <c r="D303" s="15"/>
      <c r="E303" s="23"/>
      <c r="F303" s="15"/>
      <c r="G303" s="22" t="str">
        <f aca="false">IF(E303="","",IF(F303="","Unpaid","Paid"))</f>
        <v/>
      </c>
    </row>
  </sheetData>
  <mergeCells count="1">
    <mergeCell ref="A1:G1"/>
  </mergeCells>
  <conditionalFormatting sqref="G4:G303">
    <cfRule type="cellIs" priority="2" operator="equal" aboveAverage="0" equalAverage="0" bottom="0" percent="0" rank="0" text="" dxfId="1">
      <formula>"Paid"</formula>
    </cfRule>
    <cfRule type="cellIs" priority="3" operator="equal" aboveAverage="0" equalAverage="0" bottom="0" percent="0" rank="0" text="" dxfId="2">
      <formula>"Unpaid"</formula>
    </cfRule>
  </conditionalFormatting>
  <dataValidations count="1">
    <dataValidation allowBlank="true" errorStyle="stop" operator="between" showDropDown="false" showErrorMessage="false" showInputMessage="false" sqref="D4:D303" type="list">
      <formula1>Settings!$A$11:$A$17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3"/>
  </cols>
  <sheetData>
    <row r="1" customFormat="false" ht="30" hidden="false" customHeight="true" outlineLevel="0" collapsed="false">
      <c r="A1" s="1" t="s">
        <v>78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79</v>
      </c>
    </row>
    <row r="3" customFormat="false" ht="27.75" hidden="false" customHeight="true" outlineLevel="0" collapsed="false">
      <c r="A3" s="19" t="s">
        <v>80</v>
      </c>
      <c r="B3" s="19" t="s">
        <v>81</v>
      </c>
      <c r="C3" s="19" t="s">
        <v>69</v>
      </c>
      <c r="D3" s="19" t="s">
        <v>70</v>
      </c>
      <c r="E3" s="19" t="s">
        <v>71</v>
      </c>
      <c r="F3" s="19" t="s">
        <v>82</v>
      </c>
    </row>
    <row r="4" customFormat="false" ht="15" hidden="false" customHeight="false" outlineLevel="0" collapsed="false">
      <c r="A4" s="20" t="s">
        <v>83</v>
      </c>
      <c r="B4" s="20" t="s">
        <v>84</v>
      </c>
      <c r="C4" s="20" t="s">
        <v>85</v>
      </c>
      <c r="D4" s="20" t="s">
        <v>49</v>
      </c>
      <c r="E4" s="21" t="n">
        <v>59.99</v>
      </c>
      <c r="F4" s="20" t="s">
        <v>86</v>
      </c>
    </row>
    <row r="5" customFormat="false" ht="15" hidden="false" customHeight="false" outlineLevel="0" collapsed="false">
      <c r="A5" s="15"/>
      <c r="B5" s="15"/>
      <c r="C5" s="15"/>
      <c r="D5" s="15"/>
      <c r="E5" s="23"/>
      <c r="F5" s="15"/>
    </row>
    <row r="6" customFormat="false" ht="15" hidden="false" customHeight="false" outlineLevel="0" collapsed="false">
      <c r="A6" s="15"/>
      <c r="B6" s="15"/>
      <c r="C6" s="15"/>
      <c r="D6" s="15"/>
      <c r="E6" s="23"/>
      <c r="F6" s="15"/>
    </row>
    <row r="7" customFormat="false" ht="15" hidden="false" customHeight="false" outlineLevel="0" collapsed="false">
      <c r="A7" s="15"/>
      <c r="B7" s="15"/>
      <c r="C7" s="15"/>
      <c r="D7" s="15"/>
      <c r="E7" s="23"/>
      <c r="F7" s="15"/>
    </row>
    <row r="8" customFormat="false" ht="15" hidden="false" customHeight="false" outlineLevel="0" collapsed="false">
      <c r="A8" s="15"/>
      <c r="B8" s="15"/>
      <c r="C8" s="15"/>
      <c r="D8" s="15"/>
      <c r="E8" s="23"/>
      <c r="F8" s="15"/>
    </row>
    <row r="9" customFormat="false" ht="15" hidden="false" customHeight="false" outlineLevel="0" collapsed="false">
      <c r="A9" s="15"/>
      <c r="B9" s="15"/>
      <c r="C9" s="15"/>
      <c r="D9" s="15"/>
      <c r="E9" s="23"/>
      <c r="F9" s="15"/>
    </row>
    <row r="10" customFormat="false" ht="15" hidden="false" customHeight="false" outlineLevel="0" collapsed="false">
      <c r="A10" s="15"/>
      <c r="B10" s="15"/>
      <c r="C10" s="15"/>
      <c r="D10" s="15"/>
      <c r="E10" s="23"/>
      <c r="F10" s="15"/>
    </row>
    <row r="11" customFormat="false" ht="15" hidden="false" customHeight="false" outlineLevel="0" collapsed="false">
      <c r="A11" s="15"/>
      <c r="B11" s="15"/>
      <c r="C11" s="15"/>
      <c r="D11" s="15"/>
      <c r="E11" s="23"/>
      <c r="F11" s="15"/>
    </row>
    <row r="12" customFormat="false" ht="15" hidden="false" customHeight="false" outlineLevel="0" collapsed="false">
      <c r="A12" s="15"/>
      <c r="B12" s="15"/>
      <c r="C12" s="15"/>
      <c r="D12" s="15"/>
      <c r="E12" s="23"/>
      <c r="F12" s="15"/>
    </row>
    <row r="13" customFormat="false" ht="15" hidden="false" customHeight="false" outlineLevel="0" collapsed="false">
      <c r="A13" s="15"/>
      <c r="B13" s="15"/>
      <c r="C13" s="15"/>
      <c r="D13" s="15"/>
      <c r="E13" s="23"/>
      <c r="F13" s="15"/>
    </row>
    <row r="14" customFormat="false" ht="15" hidden="false" customHeight="false" outlineLevel="0" collapsed="false">
      <c r="A14" s="15"/>
      <c r="B14" s="15"/>
      <c r="C14" s="15"/>
      <c r="D14" s="15"/>
      <c r="E14" s="23"/>
      <c r="F14" s="15"/>
    </row>
    <row r="15" customFormat="false" ht="15" hidden="false" customHeight="false" outlineLevel="0" collapsed="false">
      <c r="A15" s="15"/>
      <c r="B15" s="15"/>
      <c r="C15" s="15"/>
      <c r="D15" s="15"/>
      <c r="E15" s="23"/>
      <c r="F15" s="15"/>
    </row>
    <row r="16" customFormat="false" ht="15" hidden="false" customHeight="false" outlineLevel="0" collapsed="false">
      <c r="A16" s="15"/>
      <c r="B16" s="15"/>
      <c r="C16" s="15"/>
      <c r="D16" s="15"/>
      <c r="E16" s="23"/>
      <c r="F16" s="15"/>
    </row>
    <row r="17" customFormat="false" ht="15" hidden="false" customHeight="false" outlineLevel="0" collapsed="false">
      <c r="A17" s="15"/>
      <c r="B17" s="15"/>
      <c r="C17" s="15"/>
      <c r="D17" s="15"/>
      <c r="E17" s="23"/>
      <c r="F17" s="15"/>
    </row>
    <row r="18" customFormat="false" ht="15" hidden="false" customHeight="false" outlineLevel="0" collapsed="false">
      <c r="A18" s="15"/>
      <c r="B18" s="15"/>
      <c r="C18" s="15"/>
      <c r="D18" s="15"/>
      <c r="E18" s="23"/>
      <c r="F18" s="15"/>
    </row>
    <row r="19" customFormat="false" ht="15" hidden="false" customHeight="false" outlineLevel="0" collapsed="false">
      <c r="A19" s="15"/>
      <c r="B19" s="15"/>
      <c r="C19" s="15"/>
      <c r="D19" s="15"/>
      <c r="E19" s="23"/>
      <c r="F19" s="15"/>
    </row>
    <row r="20" customFormat="false" ht="15" hidden="false" customHeight="false" outlineLevel="0" collapsed="false">
      <c r="A20" s="15"/>
      <c r="B20" s="15"/>
      <c r="C20" s="15"/>
      <c r="D20" s="15"/>
      <c r="E20" s="23"/>
      <c r="F20" s="15"/>
    </row>
    <row r="21" customFormat="false" ht="15" hidden="false" customHeight="false" outlineLevel="0" collapsed="false">
      <c r="A21" s="15"/>
      <c r="B21" s="15"/>
      <c r="C21" s="15"/>
      <c r="D21" s="15"/>
      <c r="E21" s="23"/>
      <c r="F21" s="15"/>
    </row>
    <row r="22" customFormat="false" ht="15" hidden="false" customHeight="false" outlineLevel="0" collapsed="false">
      <c r="A22" s="15"/>
      <c r="B22" s="15"/>
      <c r="C22" s="15"/>
      <c r="D22" s="15"/>
      <c r="E22" s="23"/>
      <c r="F22" s="15"/>
    </row>
    <row r="23" customFormat="false" ht="15" hidden="false" customHeight="false" outlineLevel="0" collapsed="false">
      <c r="A23" s="15"/>
      <c r="B23" s="15"/>
      <c r="C23" s="15"/>
      <c r="D23" s="15"/>
      <c r="E23" s="23"/>
      <c r="F23" s="15"/>
    </row>
    <row r="24" customFormat="false" ht="15" hidden="false" customHeight="false" outlineLevel="0" collapsed="false">
      <c r="A24" s="15"/>
      <c r="B24" s="15"/>
      <c r="C24" s="15"/>
      <c r="D24" s="15"/>
      <c r="E24" s="23"/>
      <c r="F24" s="15"/>
    </row>
    <row r="25" customFormat="false" ht="15" hidden="false" customHeight="false" outlineLevel="0" collapsed="false">
      <c r="A25" s="15"/>
      <c r="B25" s="15"/>
      <c r="C25" s="15"/>
      <c r="D25" s="15"/>
      <c r="E25" s="23"/>
      <c r="F25" s="15"/>
    </row>
    <row r="26" customFormat="false" ht="15" hidden="false" customHeight="false" outlineLevel="0" collapsed="false">
      <c r="A26" s="15"/>
      <c r="B26" s="15"/>
      <c r="C26" s="15"/>
      <c r="D26" s="15"/>
      <c r="E26" s="23"/>
      <c r="F26" s="15"/>
    </row>
    <row r="27" customFormat="false" ht="15" hidden="false" customHeight="false" outlineLevel="0" collapsed="false">
      <c r="A27" s="15"/>
      <c r="B27" s="15"/>
      <c r="C27" s="15"/>
      <c r="D27" s="15"/>
      <c r="E27" s="23"/>
      <c r="F27" s="15"/>
    </row>
    <row r="28" customFormat="false" ht="15" hidden="false" customHeight="false" outlineLevel="0" collapsed="false">
      <c r="A28" s="15"/>
      <c r="B28" s="15"/>
      <c r="C28" s="15"/>
      <c r="D28" s="15"/>
      <c r="E28" s="23"/>
      <c r="F28" s="15"/>
    </row>
    <row r="29" customFormat="false" ht="15" hidden="false" customHeight="false" outlineLevel="0" collapsed="false">
      <c r="A29" s="15"/>
      <c r="B29" s="15"/>
      <c r="C29" s="15"/>
      <c r="D29" s="15"/>
      <c r="E29" s="23"/>
      <c r="F29" s="15"/>
    </row>
    <row r="30" customFormat="false" ht="15" hidden="false" customHeight="false" outlineLevel="0" collapsed="false">
      <c r="A30" s="15"/>
      <c r="B30" s="15"/>
      <c r="C30" s="15"/>
      <c r="D30" s="15"/>
      <c r="E30" s="23"/>
      <c r="F30" s="15"/>
    </row>
    <row r="31" customFormat="false" ht="15" hidden="false" customHeight="false" outlineLevel="0" collapsed="false">
      <c r="A31" s="15"/>
      <c r="B31" s="15"/>
      <c r="C31" s="15"/>
      <c r="D31" s="15"/>
      <c r="E31" s="23"/>
      <c r="F31" s="15"/>
    </row>
    <row r="32" customFormat="false" ht="15" hidden="false" customHeight="false" outlineLevel="0" collapsed="false">
      <c r="A32" s="15"/>
      <c r="B32" s="15"/>
      <c r="C32" s="15"/>
      <c r="D32" s="15"/>
      <c r="E32" s="23"/>
      <c r="F32" s="15"/>
    </row>
    <row r="33" customFormat="false" ht="15" hidden="false" customHeight="false" outlineLevel="0" collapsed="false">
      <c r="A33" s="15"/>
      <c r="B33" s="15"/>
      <c r="C33" s="15"/>
      <c r="D33" s="15"/>
      <c r="E33" s="23"/>
      <c r="F33" s="15"/>
    </row>
    <row r="34" customFormat="false" ht="15" hidden="false" customHeight="false" outlineLevel="0" collapsed="false">
      <c r="A34" s="15"/>
      <c r="B34" s="15"/>
      <c r="C34" s="15"/>
      <c r="D34" s="15"/>
      <c r="E34" s="23"/>
      <c r="F34" s="15"/>
    </row>
    <row r="35" customFormat="false" ht="15" hidden="false" customHeight="false" outlineLevel="0" collapsed="false">
      <c r="A35" s="15"/>
      <c r="B35" s="15"/>
      <c r="C35" s="15"/>
      <c r="D35" s="15"/>
      <c r="E35" s="23"/>
      <c r="F35" s="15"/>
    </row>
    <row r="36" customFormat="false" ht="15" hidden="false" customHeight="false" outlineLevel="0" collapsed="false">
      <c r="A36" s="15"/>
      <c r="B36" s="15"/>
      <c r="C36" s="15"/>
      <c r="D36" s="15"/>
      <c r="E36" s="23"/>
      <c r="F36" s="15"/>
    </row>
    <row r="37" customFormat="false" ht="15" hidden="false" customHeight="false" outlineLevel="0" collapsed="false">
      <c r="A37" s="15"/>
      <c r="B37" s="15"/>
      <c r="C37" s="15"/>
      <c r="D37" s="15"/>
      <c r="E37" s="23"/>
      <c r="F37" s="15"/>
    </row>
    <row r="38" customFormat="false" ht="15" hidden="false" customHeight="false" outlineLevel="0" collapsed="false">
      <c r="A38" s="15"/>
      <c r="B38" s="15"/>
      <c r="C38" s="15"/>
      <c r="D38" s="15"/>
      <c r="E38" s="23"/>
      <c r="F38" s="15"/>
    </row>
    <row r="39" customFormat="false" ht="15" hidden="false" customHeight="false" outlineLevel="0" collapsed="false">
      <c r="A39" s="15"/>
      <c r="B39" s="15"/>
      <c r="C39" s="15"/>
      <c r="D39" s="15"/>
      <c r="E39" s="23"/>
      <c r="F39" s="15"/>
    </row>
    <row r="40" customFormat="false" ht="15" hidden="false" customHeight="false" outlineLevel="0" collapsed="false">
      <c r="A40" s="15"/>
      <c r="B40" s="15"/>
      <c r="C40" s="15"/>
      <c r="D40" s="15"/>
      <c r="E40" s="23"/>
      <c r="F40" s="15"/>
    </row>
    <row r="41" customFormat="false" ht="15" hidden="false" customHeight="false" outlineLevel="0" collapsed="false">
      <c r="A41" s="15"/>
      <c r="B41" s="15"/>
      <c r="C41" s="15"/>
      <c r="D41" s="15"/>
      <c r="E41" s="23"/>
      <c r="F41" s="15"/>
    </row>
    <row r="42" customFormat="false" ht="15" hidden="false" customHeight="false" outlineLevel="0" collapsed="false">
      <c r="A42" s="15"/>
      <c r="B42" s="15"/>
      <c r="C42" s="15"/>
      <c r="D42" s="15"/>
      <c r="E42" s="23"/>
      <c r="F42" s="15"/>
    </row>
    <row r="43" customFormat="false" ht="15" hidden="false" customHeight="false" outlineLevel="0" collapsed="false">
      <c r="A43" s="15"/>
      <c r="B43" s="15"/>
      <c r="C43" s="15"/>
      <c r="D43" s="15"/>
      <c r="E43" s="23"/>
      <c r="F43" s="15"/>
    </row>
    <row r="44" customFormat="false" ht="15" hidden="false" customHeight="false" outlineLevel="0" collapsed="false">
      <c r="A44" s="15"/>
      <c r="B44" s="15"/>
      <c r="C44" s="15"/>
      <c r="D44" s="15"/>
      <c r="E44" s="23"/>
      <c r="F44" s="15"/>
    </row>
    <row r="45" customFormat="false" ht="15" hidden="false" customHeight="false" outlineLevel="0" collapsed="false">
      <c r="A45" s="15"/>
      <c r="B45" s="15"/>
      <c r="C45" s="15"/>
      <c r="D45" s="15"/>
      <c r="E45" s="23"/>
      <c r="F45" s="15"/>
    </row>
    <row r="46" customFormat="false" ht="15" hidden="false" customHeight="false" outlineLevel="0" collapsed="false">
      <c r="A46" s="15"/>
      <c r="B46" s="15"/>
      <c r="C46" s="15"/>
      <c r="D46" s="15"/>
      <c r="E46" s="23"/>
      <c r="F46" s="15"/>
    </row>
    <row r="47" customFormat="false" ht="15" hidden="false" customHeight="false" outlineLevel="0" collapsed="false">
      <c r="A47" s="15"/>
      <c r="B47" s="15"/>
      <c r="C47" s="15"/>
      <c r="D47" s="15"/>
      <c r="E47" s="23"/>
      <c r="F47" s="15"/>
    </row>
    <row r="48" customFormat="false" ht="15" hidden="false" customHeight="false" outlineLevel="0" collapsed="false">
      <c r="A48" s="15"/>
      <c r="B48" s="15"/>
      <c r="C48" s="15"/>
      <c r="D48" s="15"/>
      <c r="E48" s="23"/>
      <c r="F48" s="15"/>
    </row>
    <row r="49" customFormat="false" ht="15" hidden="false" customHeight="false" outlineLevel="0" collapsed="false">
      <c r="A49" s="15"/>
      <c r="B49" s="15"/>
      <c r="C49" s="15"/>
      <c r="D49" s="15"/>
      <c r="E49" s="23"/>
      <c r="F49" s="15"/>
    </row>
    <row r="50" customFormat="false" ht="15" hidden="false" customHeight="false" outlineLevel="0" collapsed="false">
      <c r="A50" s="15"/>
      <c r="B50" s="15"/>
      <c r="C50" s="15"/>
      <c r="D50" s="15"/>
      <c r="E50" s="23"/>
      <c r="F50" s="15"/>
    </row>
    <row r="51" customFormat="false" ht="15" hidden="false" customHeight="false" outlineLevel="0" collapsed="false">
      <c r="A51" s="15"/>
      <c r="B51" s="15"/>
      <c r="C51" s="15"/>
      <c r="D51" s="15"/>
      <c r="E51" s="23"/>
      <c r="F51" s="15"/>
    </row>
    <row r="52" customFormat="false" ht="15" hidden="false" customHeight="false" outlineLevel="0" collapsed="false">
      <c r="A52" s="15"/>
      <c r="B52" s="15"/>
      <c r="C52" s="15"/>
      <c r="D52" s="15"/>
      <c r="E52" s="23"/>
      <c r="F52" s="15"/>
    </row>
    <row r="53" customFormat="false" ht="15" hidden="false" customHeight="false" outlineLevel="0" collapsed="false">
      <c r="A53" s="15"/>
      <c r="B53" s="15"/>
      <c r="C53" s="15"/>
      <c r="D53" s="15"/>
      <c r="E53" s="23"/>
      <c r="F53" s="15"/>
    </row>
    <row r="54" customFormat="false" ht="15" hidden="false" customHeight="false" outlineLevel="0" collapsed="false">
      <c r="A54" s="15"/>
      <c r="B54" s="15"/>
      <c r="C54" s="15"/>
      <c r="D54" s="15"/>
      <c r="E54" s="23"/>
      <c r="F54" s="15"/>
    </row>
    <row r="55" customFormat="false" ht="15" hidden="false" customHeight="false" outlineLevel="0" collapsed="false">
      <c r="A55" s="15"/>
      <c r="B55" s="15"/>
      <c r="C55" s="15"/>
      <c r="D55" s="15"/>
      <c r="E55" s="23"/>
      <c r="F55" s="15"/>
    </row>
    <row r="56" customFormat="false" ht="15" hidden="false" customHeight="false" outlineLevel="0" collapsed="false">
      <c r="A56" s="15"/>
      <c r="B56" s="15"/>
      <c r="C56" s="15"/>
      <c r="D56" s="15"/>
      <c r="E56" s="23"/>
      <c r="F56" s="15"/>
    </row>
    <row r="57" customFormat="false" ht="15" hidden="false" customHeight="false" outlineLevel="0" collapsed="false">
      <c r="A57" s="15"/>
      <c r="B57" s="15"/>
      <c r="C57" s="15"/>
      <c r="D57" s="15"/>
      <c r="E57" s="23"/>
      <c r="F57" s="15"/>
    </row>
    <row r="58" customFormat="false" ht="15" hidden="false" customHeight="false" outlineLevel="0" collapsed="false">
      <c r="A58" s="15"/>
      <c r="B58" s="15"/>
      <c r="C58" s="15"/>
      <c r="D58" s="15"/>
      <c r="E58" s="23"/>
      <c r="F58" s="15"/>
    </row>
    <row r="59" customFormat="false" ht="15" hidden="false" customHeight="false" outlineLevel="0" collapsed="false">
      <c r="A59" s="15"/>
      <c r="B59" s="15"/>
      <c r="C59" s="15"/>
      <c r="D59" s="15"/>
      <c r="E59" s="23"/>
      <c r="F59" s="15"/>
    </row>
    <row r="60" customFormat="false" ht="15" hidden="false" customHeight="false" outlineLevel="0" collapsed="false">
      <c r="A60" s="15"/>
      <c r="B60" s="15"/>
      <c r="C60" s="15"/>
      <c r="D60" s="15"/>
      <c r="E60" s="23"/>
      <c r="F60" s="15"/>
    </row>
    <row r="61" customFormat="false" ht="15" hidden="false" customHeight="false" outlineLevel="0" collapsed="false">
      <c r="A61" s="15"/>
      <c r="B61" s="15"/>
      <c r="C61" s="15"/>
      <c r="D61" s="15"/>
      <c r="E61" s="23"/>
      <c r="F61" s="15"/>
    </row>
    <row r="62" customFormat="false" ht="15" hidden="false" customHeight="false" outlineLevel="0" collapsed="false">
      <c r="A62" s="15"/>
      <c r="B62" s="15"/>
      <c r="C62" s="15"/>
      <c r="D62" s="15"/>
      <c r="E62" s="23"/>
      <c r="F62" s="15"/>
    </row>
    <row r="63" customFormat="false" ht="15" hidden="false" customHeight="false" outlineLevel="0" collapsed="false">
      <c r="A63" s="15"/>
      <c r="B63" s="15"/>
      <c r="C63" s="15"/>
      <c r="D63" s="15"/>
      <c r="E63" s="23"/>
      <c r="F63" s="15"/>
    </row>
    <row r="64" customFormat="false" ht="15" hidden="false" customHeight="false" outlineLevel="0" collapsed="false">
      <c r="A64" s="15"/>
      <c r="B64" s="15"/>
      <c r="C64" s="15"/>
      <c r="D64" s="15"/>
      <c r="E64" s="23"/>
      <c r="F64" s="15"/>
    </row>
    <row r="65" customFormat="false" ht="15" hidden="false" customHeight="false" outlineLevel="0" collapsed="false">
      <c r="A65" s="15"/>
      <c r="B65" s="15"/>
      <c r="C65" s="15"/>
      <c r="D65" s="15"/>
      <c r="E65" s="23"/>
      <c r="F65" s="15"/>
    </row>
    <row r="66" customFormat="false" ht="15" hidden="false" customHeight="false" outlineLevel="0" collapsed="false">
      <c r="A66" s="15"/>
      <c r="B66" s="15"/>
      <c r="C66" s="15"/>
      <c r="D66" s="15"/>
      <c r="E66" s="23"/>
      <c r="F66" s="15"/>
    </row>
    <row r="67" customFormat="false" ht="15" hidden="false" customHeight="false" outlineLevel="0" collapsed="false">
      <c r="A67" s="15"/>
      <c r="B67" s="15"/>
      <c r="C67" s="15"/>
      <c r="D67" s="15"/>
      <c r="E67" s="23"/>
      <c r="F67" s="15"/>
    </row>
    <row r="68" customFormat="false" ht="15" hidden="false" customHeight="false" outlineLevel="0" collapsed="false">
      <c r="A68" s="15"/>
      <c r="B68" s="15"/>
      <c r="C68" s="15"/>
      <c r="D68" s="15"/>
      <c r="E68" s="23"/>
      <c r="F68" s="15"/>
    </row>
    <row r="69" customFormat="false" ht="15" hidden="false" customHeight="false" outlineLevel="0" collapsed="false">
      <c r="A69" s="15"/>
      <c r="B69" s="15"/>
      <c r="C69" s="15"/>
      <c r="D69" s="15"/>
      <c r="E69" s="23"/>
      <c r="F69" s="15"/>
    </row>
    <row r="70" customFormat="false" ht="15" hidden="false" customHeight="false" outlineLevel="0" collapsed="false">
      <c r="A70" s="15"/>
      <c r="B70" s="15"/>
      <c r="C70" s="15"/>
      <c r="D70" s="15"/>
      <c r="E70" s="23"/>
      <c r="F70" s="15"/>
    </row>
    <row r="71" customFormat="false" ht="15" hidden="false" customHeight="false" outlineLevel="0" collapsed="false">
      <c r="A71" s="15"/>
      <c r="B71" s="15"/>
      <c r="C71" s="15"/>
      <c r="D71" s="15"/>
      <c r="E71" s="23"/>
      <c r="F71" s="15"/>
    </row>
    <row r="72" customFormat="false" ht="15" hidden="false" customHeight="false" outlineLevel="0" collapsed="false">
      <c r="A72" s="15"/>
      <c r="B72" s="15"/>
      <c r="C72" s="15"/>
      <c r="D72" s="15"/>
      <c r="E72" s="23"/>
      <c r="F72" s="15"/>
    </row>
    <row r="73" customFormat="false" ht="15" hidden="false" customHeight="false" outlineLevel="0" collapsed="false">
      <c r="A73" s="15"/>
      <c r="B73" s="15"/>
      <c r="C73" s="15"/>
      <c r="D73" s="15"/>
      <c r="E73" s="23"/>
      <c r="F73" s="15"/>
    </row>
    <row r="74" customFormat="false" ht="15" hidden="false" customHeight="false" outlineLevel="0" collapsed="false">
      <c r="A74" s="15"/>
      <c r="B74" s="15"/>
      <c r="C74" s="15"/>
      <c r="D74" s="15"/>
      <c r="E74" s="23"/>
      <c r="F74" s="15"/>
    </row>
    <row r="75" customFormat="false" ht="15" hidden="false" customHeight="false" outlineLevel="0" collapsed="false">
      <c r="A75" s="15"/>
      <c r="B75" s="15"/>
      <c r="C75" s="15"/>
      <c r="D75" s="15"/>
      <c r="E75" s="23"/>
      <c r="F75" s="15"/>
    </row>
    <row r="76" customFormat="false" ht="15" hidden="false" customHeight="false" outlineLevel="0" collapsed="false">
      <c r="A76" s="15"/>
      <c r="B76" s="15"/>
      <c r="C76" s="15"/>
      <c r="D76" s="15"/>
      <c r="E76" s="23"/>
      <c r="F76" s="15"/>
    </row>
    <row r="77" customFormat="false" ht="15" hidden="false" customHeight="false" outlineLevel="0" collapsed="false">
      <c r="A77" s="15"/>
      <c r="B77" s="15"/>
      <c r="C77" s="15"/>
      <c r="D77" s="15"/>
      <c r="E77" s="23"/>
      <c r="F77" s="15"/>
    </row>
    <row r="78" customFormat="false" ht="15" hidden="false" customHeight="false" outlineLevel="0" collapsed="false">
      <c r="A78" s="15"/>
      <c r="B78" s="15"/>
      <c r="C78" s="15"/>
      <c r="D78" s="15"/>
      <c r="E78" s="23"/>
      <c r="F78" s="15"/>
    </row>
    <row r="79" customFormat="false" ht="15" hidden="false" customHeight="false" outlineLevel="0" collapsed="false">
      <c r="A79" s="15"/>
      <c r="B79" s="15"/>
      <c r="C79" s="15"/>
      <c r="D79" s="15"/>
      <c r="E79" s="23"/>
      <c r="F79" s="15"/>
    </row>
    <row r="80" customFormat="false" ht="15" hidden="false" customHeight="false" outlineLevel="0" collapsed="false">
      <c r="A80" s="15"/>
      <c r="B80" s="15"/>
      <c r="C80" s="15"/>
      <c r="D80" s="15"/>
      <c r="E80" s="23"/>
      <c r="F80" s="15"/>
    </row>
    <row r="81" customFormat="false" ht="15" hidden="false" customHeight="false" outlineLevel="0" collapsed="false">
      <c r="A81" s="15"/>
      <c r="B81" s="15"/>
      <c r="C81" s="15"/>
      <c r="D81" s="15"/>
      <c r="E81" s="23"/>
      <c r="F81" s="15"/>
    </row>
    <row r="82" customFormat="false" ht="15" hidden="false" customHeight="false" outlineLevel="0" collapsed="false">
      <c r="A82" s="15"/>
      <c r="B82" s="15"/>
      <c r="C82" s="15"/>
      <c r="D82" s="15"/>
      <c r="E82" s="23"/>
      <c r="F82" s="15"/>
    </row>
    <row r="83" customFormat="false" ht="15" hidden="false" customHeight="false" outlineLevel="0" collapsed="false">
      <c r="A83" s="15"/>
      <c r="B83" s="15"/>
      <c r="C83" s="15"/>
      <c r="D83" s="15"/>
      <c r="E83" s="23"/>
      <c r="F83" s="15"/>
    </row>
    <row r="84" customFormat="false" ht="15" hidden="false" customHeight="false" outlineLevel="0" collapsed="false">
      <c r="A84" s="15"/>
      <c r="B84" s="15"/>
      <c r="C84" s="15"/>
      <c r="D84" s="15"/>
      <c r="E84" s="23"/>
      <c r="F84" s="15"/>
    </row>
    <row r="85" customFormat="false" ht="15" hidden="false" customHeight="false" outlineLevel="0" collapsed="false">
      <c r="A85" s="15"/>
      <c r="B85" s="15"/>
      <c r="C85" s="15"/>
      <c r="D85" s="15"/>
      <c r="E85" s="23"/>
      <c r="F85" s="15"/>
    </row>
    <row r="86" customFormat="false" ht="15" hidden="false" customHeight="false" outlineLevel="0" collapsed="false">
      <c r="A86" s="15"/>
      <c r="B86" s="15"/>
      <c r="C86" s="15"/>
      <c r="D86" s="15"/>
      <c r="E86" s="23"/>
      <c r="F86" s="15"/>
    </row>
    <row r="87" customFormat="false" ht="15" hidden="false" customHeight="false" outlineLevel="0" collapsed="false">
      <c r="A87" s="15"/>
      <c r="B87" s="15"/>
      <c r="C87" s="15"/>
      <c r="D87" s="15"/>
      <c r="E87" s="23"/>
      <c r="F87" s="15"/>
    </row>
    <row r="88" customFormat="false" ht="15" hidden="false" customHeight="false" outlineLevel="0" collapsed="false">
      <c r="A88" s="15"/>
      <c r="B88" s="15"/>
      <c r="C88" s="15"/>
      <c r="D88" s="15"/>
      <c r="E88" s="23"/>
      <c r="F88" s="15"/>
    </row>
    <row r="89" customFormat="false" ht="15" hidden="false" customHeight="false" outlineLevel="0" collapsed="false">
      <c r="A89" s="15"/>
      <c r="B89" s="15"/>
      <c r="C89" s="15"/>
      <c r="D89" s="15"/>
      <c r="E89" s="23"/>
      <c r="F89" s="15"/>
    </row>
    <row r="90" customFormat="false" ht="15" hidden="false" customHeight="false" outlineLevel="0" collapsed="false">
      <c r="A90" s="15"/>
      <c r="B90" s="15"/>
      <c r="C90" s="15"/>
      <c r="D90" s="15"/>
      <c r="E90" s="23"/>
      <c r="F90" s="15"/>
    </row>
    <row r="91" customFormat="false" ht="15" hidden="false" customHeight="false" outlineLevel="0" collapsed="false">
      <c r="A91" s="15"/>
      <c r="B91" s="15"/>
      <c r="C91" s="15"/>
      <c r="D91" s="15"/>
      <c r="E91" s="23"/>
      <c r="F91" s="15"/>
    </row>
    <row r="92" customFormat="false" ht="15" hidden="false" customHeight="false" outlineLevel="0" collapsed="false">
      <c r="A92" s="15"/>
      <c r="B92" s="15"/>
      <c r="C92" s="15"/>
      <c r="D92" s="15"/>
      <c r="E92" s="23"/>
      <c r="F92" s="15"/>
    </row>
    <row r="93" customFormat="false" ht="15" hidden="false" customHeight="false" outlineLevel="0" collapsed="false">
      <c r="A93" s="15"/>
      <c r="B93" s="15"/>
      <c r="C93" s="15"/>
      <c r="D93" s="15"/>
      <c r="E93" s="23"/>
      <c r="F93" s="15"/>
    </row>
    <row r="94" customFormat="false" ht="15" hidden="false" customHeight="false" outlineLevel="0" collapsed="false">
      <c r="A94" s="15"/>
      <c r="B94" s="15"/>
      <c r="C94" s="15"/>
      <c r="D94" s="15"/>
      <c r="E94" s="23"/>
      <c r="F94" s="15"/>
    </row>
    <row r="95" customFormat="false" ht="15" hidden="false" customHeight="false" outlineLevel="0" collapsed="false">
      <c r="A95" s="15"/>
      <c r="B95" s="15"/>
      <c r="C95" s="15"/>
      <c r="D95" s="15"/>
      <c r="E95" s="23"/>
      <c r="F95" s="15"/>
    </row>
    <row r="96" customFormat="false" ht="15" hidden="false" customHeight="false" outlineLevel="0" collapsed="false">
      <c r="A96" s="15"/>
      <c r="B96" s="15"/>
      <c r="C96" s="15"/>
      <c r="D96" s="15"/>
      <c r="E96" s="23"/>
      <c r="F96" s="15"/>
    </row>
    <row r="97" customFormat="false" ht="15" hidden="false" customHeight="false" outlineLevel="0" collapsed="false">
      <c r="A97" s="15"/>
      <c r="B97" s="15"/>
      <c r="C97" s="15"/>
      <c r="D97" s="15"/>
      <c r="E97" s="23"/>
      <c r="F97" s="15"/>
    </row>
    <row r="98" customFormat="false" ht="15" hidden="false" customHeight="false" outlineLevel="0" collapsed="false">
      <c r="A98" s="15"/>
      <c r="B98" s="15"/>
      <c r="C98" s="15"/>
      <c r="D98" s="15"/>
      <c r="E98" s="23"/>
      <c r="F98" s="15"/>
    </row>
    <row r="99" customFormat="false" ht="15" hidden="false" customHeight="false" outlineLevel="0" collapsed="false">
      <c r="A99" s="15"/>
      <c r="B99" s="15"/>
      <c r="C99" s="15"/>
      <c r="D99" s="15"/>
      <c r="E99" s="23"/>
      <c r="F99" s="15"/>
    </row>
    <row r="100" customFormat="false" ht="15" hidden="false" customHeight="false" outlineLevel="0" collapsed="false">
      <c r="A100" s="15"/>
      <c r="B100" s="15"/>
      <c r="C100" s="15"/>
      <c r="D100" s="15"/>
      <c r="E100" s="23"/>
      <c r="F100" s="15"/>
    </row>
    <row r="101" customFormat="false" ht="15" hidden="false" customHeight="false" outlineLevel="0" collapsed="false">
      <c r="A101" s="15"/>
      <c r="B101" s="15"/>
      <c r="C101" s="15"/>
      <c r="D101" s="15"/>
      <c r="E101" s="23"/>
      <c r="F101" s="15"/>
    </row>
    <row r="102" customFormat="false" ht="15" hidden="false" customHeight="false" outlineLevel="0" collapsed="false">
      <c r="A102" s="15"/>
      <c r="B102" s="15"/>
      <c r="C102" s="15"/>
      <c r="D102" s="15"/>
      <c r="E102" s="23"/>
      <c r="F102" s="15"/>
    </row>
    <row r="103" customFormat="false" ht="15" hidden="false" customHeight="false" outlineLevel="0" collapsed="false">
      <c r="A103" s="15"/>
      <c r="B103" s="15"/>
      <c r="C103" s="15"/>
      <c r="D103" s="15"/>
      <c r="E103" s="23"/>
      <c r="F103" s="15"/>
    </row>
    <row r="104" customFormat="false" ht="15" hidden="false" customHeight="false" outlineLevel="0" collapsed="false">
      <c r="A104" s="15"/>
      <c r="B104" s="15"/>
      <c r="C104" s="15"/>
      <c r="D104" s="15"/>
      <c r="E104" s="23"/>
      <c r="F104" s="15"/>
    </row>
    <row r="105" customFormat="false" ht="15" hidden="false" customHeight="false" outlineLevel="0" collapsed="false">
      <c r="A105" s="15"/>
      <c r="B105" s="15"/>
      <c r="C105" s="15"/>
      <c r="D105" s="15"/>
      <c r="E105" s="23"/>
      <c r="F105" s="15"/>
    </row>
    <row r="106" customFormat="false" ht="15" hidden="false" customHeight="false" outlineLevel="0" collapsed="false">
      <c r="A106" s="15"/>
      <c r="B106" s="15"/>
      <c r="C106" s="15"/>
      <c r="D106" s="15"/>
      <c r="E106" s="23"/>
      <c r="F106" s="15"/>
    </row>
    <row r="107" customFormat="false" ht="15" hidden="false" customHeight="false" outlineLevel="0" collapsed="false">
      <c r="A107" s="15"/>
      <c r="B107" s="15"/>
      <c r="C107" s="15"/>
      <c r="D107" s="15"/>
      <c r="E107" s="23"/>
      <c r="F107" s="15"/>
    </row>
    <row r="108" customFormat="false" ht="15" hidden="false" customHeight="false" outlineLevel="0" collapsed="false">
      <c r="A108" s="15"/>
      <c r="B108" s="15"/>
      <c r="C108" s="15"/>
      <c r="D108" s="15"/>
      <c r="E108" s="23"/>
      <c r="F108" s="15"/>
    </row>
    <row r="109" customFormat="false" ht="15" hidden="false" customHeight="false" outlineLevel="0" collapsed="false">
      <c r="A109" s="15"/>
      <c r="B109" s="15"/>
      <c r="C109" s="15"/>
      <c r="D109" s="15"/>
      <c r="E109" s="23"/>
      <c r="F109" s="15"/>
    </row>
    <row r="110" customFormat="false" ht="15" hidden="false" customHeight="false" outlineLevel="0" collapsed="false">
      <c r="A110" s="15"/>
      <c r="B110" s="15"/>
      <c r="C110" s="15"/>
      <c r="D110" s="15"/>
      <c r="E110" s="23"/>
      <c r="F110" s="15"/>
    </row>
    <row r="111" customFormat="false" ht="15" hidden="false" customHeight="false" outlineLevel="0" collapsed="false">
      <c r="A111" s="15"/>
      <c r="B111" s="15"/>
      <c r="C111" s="15"/>
      <c r="D111" s="15"/>
      <c r="E111" s="23"/>
      <c r="F111" s="15"/>
    </row>
    <row r="112" customFormat="false" ht="15" hidden="false" customHeight="false" outlineLevel="0" collapsed="false">
      <c r="A112" s="15"/>
      <c r="B112" s="15"/>
      <c r="C112" s="15"/>
      <c r="D112" s="15"/>
      <c r="E112" s="23"/>
      <c r="F112" s="15"/>
    </row>
    <row r="113" customFormat="false" ht="15" hidden="false" customHeight="false" outlineLevel="0" collapsed="false">
      <c r="A113" s="15"/>
      <c r="B113" s="15"/>
      <c r="C113" s="15"/>
      <c r="D113" s="15"/>
      <c r="E113" s="23"/>
      <c r="F113" s="15"/>
    </row>
    <row r="114" customFormat="false" ht="15" hidden="false" customHeight="false" outlineLevel="0" collapsed="false">
      <c r="A114" s="15"/>
      <c r="B114" s="15"/>
      <c r="C114" s="15"/>
      <c r="D114" s="15"/>
      <c r="E114" s="23"/>
      <c r="F114" s="15"/>
    </row>
    <row r="115" customFormat="false" ht="15" hidden="false" customHeight="false" outlineLevel="0" collapsed="false">
      <c r="A115" s="15"/>
      <c r="B115" s="15"/>
      <c r="C115" s="15"/>
      <c r="D115" s="15"/>
      <c r="E115" s="23"/>
      <c r="F115" s="15"/>
    </row>
    <row r="116" customFormat="false" ht="15" hidden="false" customHeight="false" outlineLevel="0" collapsed="false">
      <c r="A116" s="15"/>
      <c r="B116" s="15"/>
      <c r="C116" s="15"/>
      <c r="D116" s="15"/>
      <c r="E116" s="23"/>
      <c r="F116" s="15"/>
    </row>
    <row r="117" customFormat="false" ht="15" hidden="false" customHeight="false" outlineLevel="0" collapsed="false">
      <c r="A117" s="15"/>
      <c r="B117" s="15"/>
      <c r="C117" s="15"/>
      <c r="D117" s="15"/>
      <c r="E117" s="23"/>
      <c r="F117" s="15"/>
    </row>
    <row r="118" customFormat="false" ht="15" hidden="false" customHeight="false" outlineLevel="0" collapsed="false">
      <c r="A118" s="15"/>
      <c r="B118" s="15"/>
      <c r="C118" s="15"/>
      <c r="D118" s="15"/>
      <c r="E118" s="23"/>
      <c r="F118" s="15"/>
    </row>
    <row r="119" customFormat="false" ht="15" hidden="false" customHeight="false" outlineLevel="0" collapsed="false">
      <c r="A119" s="15"/>
      <c r="B119" s="15"/>
      <c r="C119" s="15"/>
      <c r="D119" s="15"/>
      <c r="E119" s="23"/>
      <c r="F119" s="15"/>
    </row>
    <row r="120" customFormat="false" ht="15" hidden="false" customHeight="false" outlineLevel="0" collapsed="false">
      <c r="A120" s="15"/>
      <c r="B120" s="15"/>
      <c r="C120" s="15"/>
      <c r="D120" s="15"/>
      <c r="E120" s="23"/>
      <c r="F120" s="15"/>
    </row>
    <row r="121" customFormat="false" ht="15" hidden="false" customHeight="false" outlineLevel="0" collapsed="false">
      <c r="A121" s="15"/>
      <c r="B121" s="15"/>
      <c r="C121" s="15"/>
      <c r="D121" s="15"/>
      <c r="E121" s="23"/>
      <c r="F121" s="15"/>
    </row>
    <row r="122" customFormat="false" ht="15" hidden="false" customHeight="false" outlineLevel="0" collapsed="false">
      <c r="A122" s="15"/>
      <c r="B122" s="15"/>
      <c r="C122" s="15"/>
      <c r="D122" s="15"/>
      <c r="E122" s="23"/>
      <c r="F122" s="15"/>
    </row>
    <row r="123" customFormat="false" ht="15" hidden="false" customHeight="false" outlineLevel="0" collapsed="false">
      <c r="A123" s="15"/>
      <c r="B123" s="15"/>
      <c r="C123" s="15"/>
      <c r="D123" s="15"/>
      <c r="E123" s="23"/>
      <c r="F123" s="15"/>
    </row>
    <row r="124" customFormat="false" ht="15" hidden="false" customHeight="false" outlineLevel="0" collapsed="false">
      <c r="A124" s="15"/>
      <c r="B124" s="15"/>
      <c r="C124" s="15"/>
      <c r="D124" s="15"/>
      <c r="E124" s="23"/>
      <c r="F124" s="15"/>
    </row>
    <row r="125" customFormat="false" ht="15" hidden="false" customHeight="false" outlineLevel="0" collapsed="false">
      <c r="A125" s="15"/>
      <c r="B125" s="15"/>
      <c r="C125" s="15"/>
      <c r="D125" s="15"/>
      <c r="E125" s="23"/>
      <c r="F125" s="15"/>
    </row>
    <row r="126" customFormat="false" ht="15" hidden="false" customHeight="false" outlineLevel="0" collapsed="false">
      <c r="A126" s="15"/>
      <c r="B126" s="15"/>
      <c r="C126" s="15"/>
      <c r="D126" s="15"/>
      <c r="E126" s="23"/>
      <c r="F126" s="15"/>
    </row>
    <row r="127" customFormat="false" ht="15" hidden="false" customHeight="false" outlineLevel="0" collapsed="false">
      <c r="A127" s="15"/>
      <c r="B127" s="15"/>
      <c r="C127" s="15"/>
      <c r="D127" s="15"/>
      <c r="E127" s="23"/>
      <c r="F127" s="15"/>
    </row>
    <row r="128" customFormat="false" ht="15" hidden="false" customHeight="false" outlineLevel="0" collapsed="false">
      <c r="A128" s="15"/>
      <c r="B128" s="15"/>
      <c r="C128" s="15"/>
      <c r="D128" s="15"/>
      <c r="E128" s="23"/>
      <c r="F128" s="15"/>
    </row>
    <row r="129" customFormat="false" ht="15" hidden="false" customHeight="false" outlineLevel="0" collapsed="false">
      <c r="A129" s="15"/>
      <c r="B129" s="15"/>
      <c r="C129" s="15"/>
      <c r="D129" s="15"/>
      <c r="E129" s="23"/>
      <c r="F129" s="15"/>
    </row>
    <row r="130" customFormat="false" ht="15" hidden="false" customHeight="false" outlineLevel="0" collapsed="false">
      <c r="A130" s="15"/>
      <c r="B130" s="15"/>
      <c r="C130" s="15"/>
      <c r="D130" s="15"/>
      <c r="E130" s="23"/>
      <c r="F130" s="15"/>
    </row>
    <row r="131" customFormat="false" ht="15" hidden="false" customHeight="false" outlineLevel="0" collapsed="false">
      <c r="A131" s="15"/>
      <c r="B131" s="15"/>
      <c r="C131" s="15"/>
      <c r="D131" s="15"/>
      <c r="E131" s="23"/>
      <c r="F131" s="15"/>
    </row>
    <row r="132" customFormat="false" ht="15" hidden="false" customHeight="false" outlineLevel="0" collapsed="false">
      <c r="A132" s="15"/>
      <c r="B132" s="15"/>
      <c r="C132" s="15"/>
      <c r="D132" s="15"/>
      <c r="E132" s="23"/>
      <c r="F132" s="15"/>
    </row>
    <row r="133" customFormat="false" ht="15" hidden="false" customHeight="false" outlineLevel="0" collapsed="false">
      <c r="A133" s="15"/>
      <c r="B133" s="15"/>
      <c r="C133" s="15"/>
      <c r="D133" s="15"/>
      <c r="E133" s="23"/>
      <c r="F133" s="15"/>
    </row>
    <row r="134" customFormat="false" ht="15" hidden="false" customHeight="false" outlineLevel="0" collapsed="false">
      <c r="A134" s="15"/>
      <c r="B134" s="15"/>
      <c r="C134" s="15"/>
      <c r="D134" s="15"/>
      <c r="E134" s="23"/>
      <c r="F134" s="15"/>
    </row>
    <row r="135" customFormat="false" ht="15" hidden="false" customHeight="false" outlineLevel="0" collapsed="false">
      <c r="A135" s="15"/>
      <c r="B135" s="15"/>
      <c r="C135" s="15"/>
      <c r="D135" s="15"/>
      <c r="E135" s="23"/>
      <c r="F135" s="15"/>
    </row>
    <row r="136" customFormat="false" ht="15" hidden="false" customHeight="false" outlineLevel="0" collapsed="false">
      <c r="A136" s="15"/>
      <c r="B136" s="15"/>
      <c r="C136" s="15"/>
      <c r="D136" s="15"/>
      <c r="E136" s="23"/>
      <c r="F136" s="15"/>
    </row>
    <row r="137" customFormat="false" ht="15" hidden="false" customHeight="false" outlineLevel="0" collapsed="false">
      <c r="A137" s="15"/>
      <c r="B137" s="15"/>
      <c r="C137" s="15"/>
      <c r="D137" s="15"/>
      <c r="E137" s="23"/>
      <c r="F137" s="15"/>
    </row>
    <row r="138" customFormat="false" ht="15" hidden="false" customHeight="false" outlineLevel="0" collapsed="false">
      <c r="A138" s="15"/>
      <c r="B138" s="15"/>
      <c r="C138" s="15"/>
      <c r="D138" s="15"/>
      <c r="E138" s="23"/>
      <c r="F138" s="15"/>
    </row>
    <row r="139" customFormat="false" ht="15" hidden="false" customHeight="false" outlineLevel="0" collapsed="false">
      <c r="A139" s="15"/>
      <c r="B139" s="15"/>
      <c r="C139" s="15"/>
      <c r="D139" s="15"/>
      <c r="E139" s="23"/>
      <c r="F139" s="15"/>
    </row>
    <row r="140" customFormat="false" ht="15" hidden="false" customHeight="false" outlineLevel="0" collapsed="false">
      <c r="A140" s="15"/>
      <c r="B140" s="15"/>
      <c r="C140" s="15"/>
      <c r="D140" s="15"/>
      <c r="E140" s="23"/>
      <c r="F140" s="15"/>
    </row>
    <row r="141" customFormat="false" ht="15" hidden="false" customHeight="false" outlineLevel="0" collapsed="false">
      <c r="A141" s="15"/>
      <c r="B141" s="15"/>
      <c r="C141" s="15"/>
      <c r="D141" s="15"/>
      <c r="E141" s="23"/>
      <c r="F141" s="15"/>
    </row>
    <row r="142" customFormat="false" ht="15" hidden="false" customHeight="false" outlineLevel="0" collapsed="false">
      <c r="A142" s="15"/>
      <c r="B142" s="15"/>
      <c r="C142" s="15"/>
      <c r="D142" s="15"/>
      <c r="E142" s="23"/>
      <c r="F142" s="15"/>
    </row>
    <row r="143" customFormat="false" ht="15" hidden="false" customHeight="false" outlineLevel="0" collapsed="false">
      <c r="A143" s="15"/>
      <c r="B143" s="15"/>
      <c r="C143" s="15"/>
      <c r="D143" s="15"/>
      <c r="E143" s="23"/>
      <c r="F143" s="15"/>
    </row>
    <row r="144" customFormat="false" ht="15" hidden="false" customHeight="false" outlineLevel="0" collapsed="false">
      <c r="A144" s="15"/>
      <c r="B144" s="15"/>
      <c r="C144" s="15"/>
      <c r="D144" s="15"/>
      <c r="E144" s="23"/>
      <c r="F144" s="15"/>
    </row>
    <row r="145" customFormat="false" ht="15" hidden="false" customHeight="false" outlineLevel="0" collapsed="false">
      <c r="A145" s="15"/>
      <c r="B145" s="15"/>
      <c r="C145" s="15"/>
      <c r="D145" s="15"/>
      <c r="E145" s="23"/>
      <c r="F145" s="15"/>
    </row>
    <row r="146" customFormat="false" ht="15" hidden="false" customHeight="false" outlineLevel="0" collapsed="false">
      <c r="A146" s="15"/>
      <c r="B146" s="15"/>
      <c r="C146" s="15"/>
      <c r="D146" s="15"/>
      <c r="E146" s="23"/>
      <c r="F146" s="15"/>
    </row>
    <row r="147" customFormat="false" ht="15" hidden="false" customHeight="false" outlineLevel="0" collapsed="false">
      <c r="A147" s="15"/>
      <c r="B147" s="15"/>
      <c r="C147" s="15"/>
      <c r="D147" s="15"/>
      <c r="E147" s="23"/>
      <c r="F147" s="15"/>
    </row>
    <row r="148" customFormat="false" ht="15" hidden="false" customHeight="false" outlineLevel="0" collapsed="false">
      <c r="A148" s="15"/>
      <c r="B148" s="15"/>
      <c r="C148" s="15"/>
      <c r="D148" s="15"/>
      <c r="E148" s="23"/>
      <c r="F148" s="15"/>
    </row>
    <row r="149" customFormat="false" ht="15" hidden="false" customHeight="false" outlineLevel="0" collapsed="false">
      <c r="A149" s="15"/>
      <c r="B149" s="15"/>
      <c r="C149" s="15"/>
      <c r="D149" s="15"/>
      <c r="E149" s="23"/>
      <c r="F149" s="15"/>
    </row>
    <row r="150" customFormat="false" ht="15" hidden="false" customHeight="false" outlineLevel="0" collapsed="false">
      <c r="A150" s="15"/>
      <c r="B150" s="15"/>
      <c r="C150" s="15"/>
      <c r="D150" s="15"/>
      <c r="E150" s="23"/>
      <c r="F150" s="15"/>
    </row>
    <row r="151" customFormat="false" ht="15" hidden="false" customHeight="false" outlineLevel="0" collapsed="false">
      <c r="A151" s="15"/>
      <c r="B151" s="15"/>
      <c r="C151" s="15"/>
      <c r="D151" s="15"/>
      <c r="E151" s="23"/>
      <c r="F151" s="15"/>
    </row>
    <row r="152" customFormat="false" ht="15" hidden="false" customHeight="false" outlineLevel="0" collapsed="false">
      <c r="A152" s="15"/>
      <c r="B152" s="15"/>
      <c r="C152" s="15"/>
      <c r="D152" s="15"/>
      <c r="E152" s="23"/>
      <c r="F152" s="15"/>
    </row>
    <row r="153" customFormat="false" ht="15" hidden="false" customHeight="false" outlineLevel="0" collapsed="false">
      <c r="A153" s="15"/>
      <c r="B153" s="15"/>
      <c r="C153" s="15"/>
      <c r="D153" s="15"/>
      <c r="E153" s="23"/>
      <c r="F153" s="15"/>
    </row>
    <row r="154" customFormat="false" ht="15" hidden="false" customHeight="false" outlineLevel="0" collapsed="false">
      <c r="A154" s="15"/>
      <c r="B154" s="15"/>
      <c r="C154" s="15"/>
      <c r="D154" s="15"/>
      <c r="E154" s="23"/>
      <c r="F154" s="15"/>
    </row>
    <row r="155" customFormat="false" ht="15" hidden="false" customHeight="false" outlineLevel="0" collapsed="false">
      <c r="A155" s="15"/>
      <c r="B155" s="15"/>
      <c r="C155" s="15"/>
      <c r="D155" s="15"/>
      <c r="E155" s="23"/>
      <c r="F155" s="15"/>
    </row>
    <row r="156" customFormat="false" ht="15" hidden="false" customHeight="false" outlineLevel="0" collapsed="false">
      <c r="A156" s="15"/>
      <c r="B156" s="15"/>
      <c r="C156" s="15"/>
      <c r="D156" s="15"/>
      <c r="E156" s="23"/>
      <c r="F156" s="15"/>
    </row>
    <row r="157" customFormat="false" ht="15" hidden="false" customHeight="false" outlineLevel="0" collapsed="false">
      <c r="A157" s="15"/>
      <c r="B157" s="15"/>
      <c r="C157" s="15"/>
      <c r="D157" s="15"/>
      <c r="E157" s="23"/>
      <c r="F157" s="15"/>
    </row>
    <row r="158" customFormat="false" ht="15" hidden="false" customHeight="false" outlineLevel="0" collapsed="false">
      <c r="A158" s="15"/>
      <c r="B158" s="15"/>
      <c r="C158" s="15"/>
      <c r="D158" s="15"/>
      <c r="E158" s="23"/>
      <c r="F158" s="15"/>
    </row>
    <row r="159" customFormat="false" ht="15" hidden="false" customHeight="false" outlineLevel="0" collapsed="false">
      <c r="A159" s="15"/>
      <c r="B159" s="15"/>
      <c r="C159" s="15"/>
      <c r="D159" s="15"/>
      <c r="E159" s="23"/>
      <c r="F159" s="15"/>
    </row>
    <row r="160" customFormat="false" ht="15" hidden="false" customHeight="false" outlineLevel="0" collapsed="false">
      <c r="A160" s="15"/>
      <c r="B160" s="15"/>
      <c r="C160" s="15"/>
      <c r="D160" s="15"/>
      <c r="E160" s="23"/>
      <c r="F160" s="15"/>
    </row>
    <row r="161" customFormat="false" ht="15" hidden="false" customHeight="false" outlineLevel="0" collapsed="false">
      <c r="A161" s="15"/>
      <c r="B161" s="15"/>
      <c r="C161" s="15"/>
      <c r="D161" s="15"/>
      <c r="E161" s="23"/>
      <c r="F161" s="15"/>
    </row>
    <row r="162" customFormat="false" ht="15" hidden="false" customHeight="false" outlineLevel="0" collapsed="false">
      <c r="A162" s="15"/>
      <c r="B162" s="15"/>
      <c r="C162" s="15"/>
      <c r="D162" s="15"/>
      <c r="E162" s="23"/>
      <c r="F162" s="15"/>
    </row>
    <row r="163" customFormat="false" ht="15" hidden="false" customHeight="false" outlineLevel="0" collapsed="false">
      <c r="A163" s="15"/>
      <c r="B163" s="15"/>
      <c r="C163" s="15"/>
      <c r="D163" s="15"/>
      <c r="E163" s="23"/>
      <c r="F163" s="15"/>
    </row>
    <row r="164" customFormat="false" ht="15" hidden="false" customHeight="false" outlineLevel="0" collapsed="false">
      <c r="A164" s="15"/>
      <c r="B164" s="15"/>
      <c r="C164" s="15"/>
      <c r="D164" s="15"/>
      <c r="E164" s="23"/>
      <c r="F164" s="15"/>
    </row>
    <row r="165" customFormat="false" ht="15" hidden="false" customHeight="false" outlineLevel="0" collapsed="false">
      <c r="A165" s="15"/>
      <c r="B165" s="15"/>
      <c r="C165" s="15"/>
      <c r="D165" s="15"/>
      <c r="E165" s="23"/>
      <c r="F165" s="15"/>
    </row>
    <row r="166" customFormat="false" ht="15" hidden="false" customHeight="false" outlineLevel="0" collapsed="false">
      <c r="A166" s="15"/>
      <c r="B166" s="15"/>
      <c r="C166" s="15"/>
      <c r="D166" s="15"/>
      <c r="E166" s="23"/>
      <c r="F166" s="15"/>
    </row>
    <row r="167" customFormat="false" ht="15" hidden="false" customHeight="false" outlineLevel="0" collapsed="false">
      <c r="A167" s="15"/>
      <c r="B167" s="15"/>
      <c r="C167" s="15"/>
      <c r="D167" s="15"/>
      <c r="E167" s="23"/>
      <c r="F167" s="15"/>
    </row>
    <row r="168" customFormat="false" ht="15" hidden="false" customHeight="false" outlineLevel="0" collapsed="false">
      <c r="A168" s="15"/>
      <c r="B168" s="15"/>
      <c r="C168" s="15"/>
      <c r="D168" s="15"/>
      <c r="E168" s="23"/>
      <c r="F168" s="15"/>
    </row>
    <row r="169" customFormat="false" ht="15" hidden="false" customHeight="false" outlineLevel="0" collapsed="false">
      <c r="A169" s="15"/>
      <c r="B169" s="15"/>
      <c r="C169" s="15"/>
      <c r="D169" s="15"/>
      <c r="E169" s="23"/>
      <c r="F169" s="15"/>
    </row>
    <row r="170" customFormat="false" ht="15" hidden="false" customHeight="false" outlineLevel="0" collapsed="false">
      <c r="A170" s="15"/>
      <c r="B170" s="15"/>
      <c r="C170" s="15"/>
      <c r="D170" s="15"/>
      <c r="E170" s="23"/>
      <c r="F170" s="15"/>
    </row>
    <row r="171" customFormat="false" ht="15" hidden="false" customHeight="false" outlineLevel="0" collapsed="false">
      <c r="A171" s="15"/>
      <c r="B171" s="15"/>
      <c r="C171" s="15"/>
      <c r="D171" s="15"/>
      <c r="E171" s="23"/>
      <c r="F171" s="15"/>
    </row>
    <row r="172" customFormat="false" ht="15" hidden="false" customHeight="false" outlineLevel="0" collapsed="false">
      <c r="A172" s="15"/>
      <c r="B172" s="15"/>
      <c r="C172" s="15"/>
      <c r="D172" s="15"/>
      <c r="E172" s="23"/>
      <c r="F172" s="15"/>
    </row>
    <row r="173" customFormat="false" ht="15" hidden="false" customHeight="false" outlineLevel="0" collapsed="false">
      <c r="A173" s="15"/>
      <c r="B173" s="15"/>
      <c r="C173" s="15"/>
      <c r="D173" s="15"/>
      <c r="E173" s="23"/>
      <c r="F173" s="15"/>
    </row>
    <row r="174" customFormat="false" ht="15" hidden="false" customHeight="false" outlineLevel="0" collapsed="false">
      <c r="A174" s="15"/>
      <c r="B174" s="15"/>
      <c r="C174" s="15"/>
      <c r="D174" s="15"/>
      <c r="E174" s="23"/>
      <c r="F174" s="15"/>
    </row>
    <row r="175" customFormat="false" ht="15" hidden="false" customHeight="false" outlineLevel="0" collapsed="false">
      <c r="A175" s="15"/>
      <c r="B175" s="15"/>
      <c r="C175" s="15"/>
      <c r="D175" s="15"/>
      <c r="E175" s="23"/>
      <c r="F175" s="15"/>
    </row>
    <row r="176" customFormat="false" ht="15" hidden="false" customHeight="false" outlineLevel="0" collapsed="false">
      <c r="A176" s="15"/>
      <c r="B176" s="15"/>
      <c r="C176" s="15"/>
      <c r="D176" s="15"/>
      <c r="E176" s="23"/>
      <c r="F176" s="15"/>
    </row>
    <row r="177" customFormat="false" ht="15" hidden="false" customHeight="false" outlineLevel="0" collapsed="false">
      <c r="A177" s="15"/>
      <c r="B177" s="15"/>
      <c r="C177" s="15"/>
      <c r="D177" s="15"/>
      <c r="E177" s="23"/>
      <c r="F177" s="15"/>
    </row>
    <row r="178" customFormat="false" ht="15" hidden="false" customHeight="false" outlineLevel="0" collapsed="false">
      <c r="A178" s="15"/>
      <c r="B178" s="15"/>
      <c r="C178" s="15"/>
      <c r="D178" s="15"/>
      <c r="E178" s="23"/>
      <c r="F178" s="15"/>
    </row>
    <row r="179" customFormat="false" ht="15" hidden="false" customHeight="false" outlineLevel="0" collapsed="false">
      <c r="A179" s="15"/>
      <c r="B179" s="15"/>
      <c r="C179" s="15"/>
      <c r="D179" s="15"/>
      <c r="E179" s="23"/>
      <c r="F179" s="15"/>
    </row>
    <row r="180" customFormat="false" ht="15" hidden="false" customHeight="false" outlineLevel="0" collapsed="false">
      <c r="A180" s="15"/>
      <c r="B180" s="15"/>
      <c r="C180" s="15"/>
      <c r="D180" s="15"/>
      <c r="E180" s="23"/>
      <c r="F180" s="15"/>
    </row>
    <row r="181" customFormat="false" ht="15" hidden="false" customHeight="false" outlineLevel="0" collapsed="false">
      <c r="A181" s="15"/>
      <c r="B181" s="15"/>
      <c r="C181" s="15"/>
      <c r="D181" s="15"/>
      <c r="E181" s="23"/>
      <c r="F181" s="15"/>
    </row>
    <row r="182" customFormat="false" ht="15" hidden="false" customHeight="false" outlineLevel="0" collapsed="false">
      <c r="A182" s="15"/>
      <c r="B182" s="15"/>
      <c r="C182" s="15"/>
      <c r="D182" s="15"/>
      <c r="E182" s="23"/>
      <c r="F182" s="15"/>
    </row>
    <row r="183" customFormat="false" ht="15" hidden="false" customHeight="false" outlineLevel="0" collapsed="false">
      <c r="A183" s="15"/>
      <c r="B183" s="15"/>
      <c r="C183" s="15"/>
      <c r="D183" s="15"/>
      <c r="E183" s="23"/>
      <c r="F183" s="15"/>
    </row>
    <row r="184" customFormat="false" ht="15" hidden="false" customHeight="false" outlineLevel="0" collapsed="false">
      <c r="A184" s="15"/>
      <c r="B184" s="15"/>
      <c r="C184" s="15"/>
      <c r="D184" s="15"/>
      <c r="E184" s="23"/>
      <c r="F184" s="15"/>
    </row>
    <row r="185" customFormat="false" ht="15" hidden="false" customHeight="false" outlineLevel="0" collapsed="false">
      <c r="A185" s="15"/>
      <c r="B185" s="15"/>
      <c r="C185" s="15"/>
      <c r="D185" s="15"/>
      <c r="E185" s="23"/>
      <c r="F185" s="15"/>
    </row>
    <row r="186" customFormat="false" ht="15" hidden="false" customHeight="false" outlineLevel="0" collapsed="false">
      <c r="A186" s="15"/>
      <c r="B186" s="15"/>
      <c r="C186" s="15"/>
      <c r="D186" s="15"/>
      <c r="E186" s="23"/>
      <c r="F186" s="15"/>
    </row>
    <row r="187" customFormat="false" ht="15" hidden="false" customHeight="false" outlineLevel="0" collapsed="false">
      <c r="A187" s="15"/>
      <c r="B187" s="15"/>
      <c r="C187" s="15"/>
      <c r="D187" s="15"/>
      <c r="E187" s="23"/>
      <c r="F187" s="15"/>
    </row>
    <row r="188" customFormat="false" ht="15" hidden="false" customHeight="false" outlineLevel="0" collapsed="false">
      <c r="A188" s="15"/>
      <c r="B188" s="15"/>
      <c r="C188" s="15"/>
      <c r="D188" s="15"/>
      <c r="E188" s="23"/>
      <c r="F188" s="15"/>
    </row>
    <row r="189" customFormat="false" ht="15" hidden="false" customHeight="false" outlineLevel="0" collapsed="false">
      <c r="A189" s="15"/>
      <c r="B189" s="15"/>
      <c r="C189" s="15"/>
      <c r="D189" s="15"/>
      <c r="E189" s="23"/>
      <c r="F189" s="15"/>
    </row>
    <row r="190" customFormat="false" ht="15" hidden="false" customHeight="false" outlineLevel="0" collapsed="false">
      <c r="A190" s="15"/>
      <c r="B190" s="15"/>
      <c r="C190" s="15"/>
      <c r="D190" s="15"/>
      <c r="E190" s="23"/>
      <c r="F190" s="15"/>
    </row>
    <row r="191" customFormat="false" ht="15" hidden="false" customHeight="false" outlineLevel="0" collapsed="false">
      <c r="A191" s="15"/>
      <c r="B191" s="15"/>
      <c r="C191" s="15"/>
      <c r="D191" s="15"/>
      <c r="E191" s="23"/>
      <c r="F191" s="15"/>
    </row>
    <row r="192" customFormat="false" ht="15" hidden="false" customHeight="false" outlineLevel="0" collapsed="false">
      <c r="A192" s="15"/>
      <c r="B192" s="15"/>
      <c r="C192" s="15"/>
      <c r="D192" s="15"/>
      <c r="E192" s="23"/>
      <c r="F192" s="15"/>
    </row>
    <row r="193" customFormat="false" ht="15" hidden="false" customHeight="false" outlineLevel="0" collapsed="false">
      <c r="A193" s="15"/>
      <c r="B193" s="15"/>
      <c r="C193" s="15"/>
      <c r="D193" s="15"/>
      <c r="E193" s="23"/>
      <c r="F193" s="15"/>
    </row>
    <row r="194" customFormat="false" ht="15" hidden="false" customHeight="false" outlineLevel="0" collapsed="false">
      <c r="A194" s="15"/>
      <c r="B194" s="15"/>
      <c r="C194" s="15"/>
      <c r="D194" s="15"/>
      <c r="E194" s="23"/>
      <c r="F194" s="15"/>
    </row>
    <row r="195" customFormat="false" ht="15" hidden="false" customHeight="false" outlineLevel="0" collapsed="false">
      <c r="A195" s="15"/>
      <c r="B195" s="15"/>
      <c r="C195" s="15"/>
      <c r="D195" s="15"/>
      <c r="E195" s="23"/>
      <c r="F195" s="15"/>
    </row>
    <row r="196" customFormat="false" ht="15" hidden="false" customHeight="false" outlineLevel="0" collapsed="false">
      <c r="A196" s="15"/>
      <c r="B196" s="15"/>
      <c r="C196" s="15"/>
      <c r="D196" s="15"/>
      <c r="E196" s="23"/>
      <c r="F196" s="15"/>
    </row>
    <row r="197" customFormat="false" ht="15" hidden="false" customHeight="false" outlineLevel="0" collapsed="false">
      <c r="A197" s="15"/>
      <c r="B197" s="15"/>
      <c r="C197" s="15"/>
      <c r="D197" s="15"/>
      <c r="E197" s="23"/>
      <c r="F197" s="15"/>
    </row>
    <row r="198" customFormat="false" ht="15" hidden="false" customHeight="false" outlineLevel="0" collapsed="false">
      <c r="A198" s="15"/>
      <c r="B198" s="15"/>
      <c r="C198" s="15"/>
      <c r="D198" s="15"/>
      <c r="E198" s="23"/>
      <c r="F198" s="15"/>
    </row>
    <row r="199" customFormat="false" ht="15" hidden="false" customHeight="false" outlineLevel="0" collapsed="false">
      <c r="A199" s="15"/>
      <c r="B199" s="15"/>
      <c r="C199" s="15"/>
      <c r="D199" s="15"/>
      <c r="E199" s="23"/>
      <c r="F199" s="15"/>
    </row>
    <row r="200" customFormat="false" ht="15" hidden="false" customHeight="false" outlineLevel="0" collapsed="false">
      <c r="A200" s="15"/>
      <c r="B200" s="15"/>
      <c r="C200" s="15"/>
      <c r="D200" s="15"/>
      <c r="E200" s="23"/>
      <c r="F200" s="15"/>
    </row>
    <row r="201" customFormat="false" ht="15" hidden="false" customHeight="false" outlineLevel="0" collapsed="false">
      <c r="A201" s="15"/>
      <c r="B201" s="15"/>
      <c r="C201" s="15"/>
      <c r="D201" s="15"/>
      <c r="E201" s="23"/>
      <c r="F201" s="15"/>
    </row>
    <row r="202" customFormat="false" ht="15" hidden="false" customHeight="false" outlineLevel="0" collapsed="false">
      <c r="A202" s="15"/>
      <c r="B202" s="15"/>
      <c r="C202" s="15"/>
      <c r="D202" s="15"/>
      <c r="E202" s="23"/>
      <c r="F202" s="15"/>
    </row>
    <row r="203" customFormat="false" ht="15" hidden="false" customHeight="false" outlineLevel="0" collapsed="false">
      <c r="A203" s="15"/>
      <c r="B203" s="15"/>
      <c r="C203" s="15"/>
      <c r="D203" s="15"/>
      <c r="E203" s="23"/>
      <c r="F203" s="15"/>
    </row>
    <row r="204" customFormat="false" ht="15" hidden="false" customHeight="false" outlineLevel="0" collapsed="false">
      <c r="A204" s="15"/>
      <c r="B204" s="15"/>
      <c r="C204" s="15"/>
      <c r="D204" s="15"/>
      <c r="E204" s="23"/>
      <c r="F204" s="15"/>
    </row>
    <row r="205" customFormat="false" ht="15" hidden="false" customHeight="false" outlineLevel="0" collapsed="false">
      <c r="A205" s="15"/>
      <c r="B205" s="15"/>
      <c r="C205" s="15"/>
      <c r="D205" s="15"/>
      <c r="E205" s="23"/>
      <c r="F205" s="15"/>
    </row>
    <row r="206" customFormat="false" ht="15" hidden="false" customHeight="false" outlineLevel="0" collapsed="false">
      <c r="A206" s="15"/>
      <c r="B206" s="15"/>
      <c r="C206" s="15"/>
      <c r="D206" s="15"/>
      <c r="E206" s="23"/>
      <c r="F206" s="15"/>
    </row>
    <row r="207" customFormat="false" ht="15" hidden="false" customHeight="false" outlineLevel="0" collapsed="false">
      <c r="A207" s="15"/>
      <c r="B207" s="15"/>
      <c r="C207" s="15"/>
      <c r="D207" s="15"/>
      <c r="E207" s="23"/>
      <c r="F207" s="15"/>
    </row>
    <row r="208" customFormat="false" ht="15" hidden="false" customHeight="false" outlineLevel="0" collapsed="false">
      <c r="A208" s="15"/>
      <c r="B208" s="15"/>
      <c r="C208" s="15"/>
      <c r="D208" s="15"/>
      <c r="E208" s="23"/>
      <c r="F208" s="15"/>
    </row>
    <row r="209" customFormat="false" ht="15" hidden="false" customHeight="false" outlineLevel="0" collapsed="false">
      <c r="A209" s="15"/>
      <c r="B209" s="15"/>
      <c r="C209" s="15"/>
      <c r="D209" s="15"/>
      <c r="E209" s="23"/>
      <c r="F209" s="15"/>
    </row>
    <row r="210" customFormat="false" ht="15" hidden="false" customHeight="false" outlineLevel="0" collapsed="false">
      <c r="A210" s="15"/>
      <c r="B210" s="15"/>
      <c r="C210" s="15"/>
      <c r="D210" s="15"/>
      <c r="E210" s="23"/>
      <c r="F210" s="15"/>
    </row>
    <row r="211" customFormat="false" ht="15" hidden="false" customHeight="false" outlineLevel="0" collapsed="false">
      <c r="A211" s="15"/>
      <c r="B211" s="15"/>
      <c r="C211" s="15"/>
      <c r="D211" s="15"/>
      <c r="E211" s="23"/>
      <c r="F211" s="15"/>
    </row>
    <row r="212" customFormat="false" ht="15" hidden="false" customHeight="false" outlineLevel="0" collapsed="false">
      <c r="A212" s="15"/>
      <c r="B212" s="15"/>
      <c r="C212" s="15"/>
      <c r="D212" s="15"/>
      <c r="E212" s="23"/>
      <c r="F212" s="15"/>
    </row>
    <row r="213" customFormat="false" ht="15" hidden="false" customHeight="false" outlineLevel="0" collapsed="false">
      <c r="A213" s="15"/>
      <c r="B213" s="15"/>
      <c r="C213" s="15"/>
      <c r="D213" s="15"/>
      <c r="E213" s="23"/>
      <c r="F213" s="15"/>
    </row>
    <row r="214" customFormat="false" ht="15" hidden="false" customHeight="false" outlineLevel="0" collapsed="false">
      <c r="A214" s="15"/>
      <c r="B214" s="15"/>
      <c r="C214" s="15"/>
      <c r="D214" s="15"/>
      <c r="E214" s="23"/>
      <c r="F214" s="15"/>
    </row>
    <row r="215" customFormat="false" ht="15" hidden="false" customHeight="false" outlineLevel="0" collapsed="false">
      <c r="A215" s="15"/>
      <c r="B215" s="15"/>
      <c r="C215" s="15"/>
      <c r="D215" s="15"/>
      <c r="E215" s="23"/>
      <c r="F215" s="15"/>
    </row>
    <row r="216" customFormat="false" ht="15" hidden="false" customHeight="false" outlineLevel="0" collapsed="false">
      <c r="A216" s="15"/>
      <c r="B216" s="15"/>
      <c r="C216" s="15"/>
      <c r="D216" s="15"/>
      <c r="E216" s="23"/>
      <c r="F216" s="15"/>
    </row>
    <row r="217" customFormat="false" ht="15" hidden="false" customHeight="false" outlineLevel="0" collapsed="false">
      <c r="A217" s="15"/>
      <c r="B217" s="15"/>
      <c r="C217" s="15"/>
      <c r="D217" s="15"/>
      <c r="E217" s="23"/>
      <c r="F217" s="15"/>
    </row>
    <row r="218" customFormat="false" ht="15" hidden="false" customHeight="false" outlineLevel="0" collapsed="false">
      <c r="A218" s="15"/>
      <c r="B218" s="15"/>
      <c r="C218" s="15"/>
      <c r="D218" s="15"/>
      <c r="E218" s="23"/>
      <c r="F218" s="15"/>
    </row>
    <row r="219" customFormat="false" ht="15" hidden="false" customHeight="false" outlineLevel="0" collapsed="false">
      <c r="A219" s="15"/>
      <c r="B219" s="15"/>
      <c r="C219" s="15"/>
      <c r="D219" s="15"/>
      <c r="E219" s="23"/>
      <c r="F219" s="15"/>
    </row>
    <row r="220" customFormat="false" ht="15" hidden="false" customHeight="false" outlineLevel="0" collapsed="false">
      <c r="A220" s="15"/>
      <c r="B220" s="15"/>
      <c r="C220" s="15"/>
      <c r="D220" s="15"/>
      <c r="E220" s="23"/>
      <c r="F220" s="15"/>
    </row>
    <row r="221" customFormat="false" ht="15" hidden="false" customHeight="false" outlineLevel="0" collapsed="false">
      <c r="A221" s="15"/>
      <c r="B221" s="15"/>
      <c r="C221" s="15"/>
      <c r="D221" s="15"/>
      <c r="E221" s="23"/>
      <c r="F221" s="15"/>
    </row>
    <row r="222" customFormat="false" ht="15" hidden="false" customHeight="false" outlineLevel="0" collapsed="false">
      <c r="A222" s="15"/>
      <c r="B222" s="15"/>
      <c r="C222" s="15"/>
      <c r="D222" s="15"/>
      <c r="E222" s="23"/>
      <c r="F222" s="15"/>
    </row>
    <row r="223" customFormat="false" ht="15" hidden="false" customHeight="false" outlineLevel="0" collapsed="false">
      <c r="A223" s="15"/>
      <c r="B223" s="15"/>
      <c r="C223" s="15"/>
      <c r="D223" s="15"/>
      <c r="E223" s="23"/>
      <c r="F223" s="15"/>
    </row>
    <row r="224" customFormat="false" ht="15" hidden="false" customHeight="false" outlineLevel="0" collapsed="false">
      <c r="A224" s="15"/>
      <c r="B224" s="15"/>
      <c r="C224" s="15"/>
      <c r="D224" s="15"/>
      <c r="E224" s="23"/>
      <c r="F224" s="15"/>
    </row>
    <row r="225" customFormat="false" ht="15" hidden="false" customHeight="false" outlineLevel="0" collapsed="false">
      <c r="A225" s="15"/>
      <c r="B225" s="15"/>
      <c r="C225" s="15"/>
      <c r="D225" s="15"/>
      <c r="E225" s="23"/>
      <c r="F225" s="15"/>
    </row>
    <row r="226" customFormat="false" ht="15" hidden="false" customHeight="false" outlineLevel="0" collapsed="false">
      <c r="A226" s="15"/>
      <c r="B226" s="15"/>
      <c r="C226" s="15"/>
      <c r="D226" s="15"/>
      <c r="E226" s="23"/>
      <c r="F226" s="15"/>
    </row>
    <row r="227" customFormat="false" ht="15" hidden="false" customHeight="false" outlineLevel="0" collapsed="false">
      <c r="A227" s="15"/>
      <c r="B227" s="15"/>
      <c r="C227" s="15"/>
      <c r="D227" s="15"/>
      <c r="E227" s="23"/>
      <c r="F227" s="15"/>
    </row>
    <row r="228" customFormat="false" ht="15" hidden="false" customHeight="false" outlineLevel="0" collapsed="false">
      <c r="A228" s="15"/>
      <c r="B228" s="15"/>
      <c r="C228" s="15"/>
      <c r="D228" s="15"/>
      <c r="E228" s="23"/>
      <c r="F228" s="15"/>
    </row>
    <row r="229" customFormat="false" ht="15" hidden="false" customHeight="false" outlineLevel="0" collapsed="false">
      <c r="A229" s="15"/>
      <c r="B229" s="15"/>
      <c r="C229" s="15"/>
      <c r="D229" s="15"/>
      <c r="E229" s="23"/>
      <c r="F229" s="15"/>
    </row>
    <row r="230" customFormat="false" ht="15" hidden="false" customHeight="false" outlineLevel="0" collapsed="false">
      <c r="A230" s="15"/>
      <c r="B230" s="15"/>
      <c r="C230" s="15"/>
      <c r="D230" s="15"/>
      <c r="E230" s="23"/>
      <c r="F230" s="15"/>
    </row>
    <row r="231" customFormat="false" ht="15" hidden="false" customHeight="false" outlineLevel="0" collapsed="false">
      <c r="A231" s="15"/>
      <c r="B231" s="15"/>
      <c r="C231" s="15"/>
      <c r="D231" s="15"/>
      <c r="E231" s="23"/>
      <c r="F231" s="15"/>
    </row>
    <row r="232" customFormat="false" ht="15" hidden="false" customHeight="false" outlineLevel="0" collapsed="false">
      <c r="A232" s="15"/>
      <c r="B232" s="15"/>
      <c r="C232" s="15"/>
      <c r="D232" s="15"/>
      <c r="E232" s="23"/>
      <c r="F232" s="15"/>
    </row>
    <row r="233" customFormat="false" ht="15" hidden="false" customHeight="false" outlineLevel="0" collapsed="false">
      <c r="A233" s="15"/>
      <c r="B233" s="15"/>
      <c r="C233" s="15"/>
      <c r="D233" s="15"/>
      <c r="E233" s="23"/>
      <c r="F233" s="15"/>
    </row>
    <row r="234" customFormat="false" ht="15" hidden="false" customHeight="false" outlineLevel="0" collapsed="false">
      <c r="A234" s="15"/>
      <c r="B234" s="15"/>
      <c r="C234" s="15"/>
      <c r="D234" s="15"/>
      <c r="E234" s="23"/>
      <c r="F234" s="15"/>
    </row>
    <row r="235" customFormat="false" ht="15" hidden="false" customHeight="false" outlineLevel="0" collapsed="false">
      <c r="A235" s="15"/>
      <c r="B235" s="15"/>
      <c r="C235" s="15"/>
      <c r="D235" s="15"/>
      <c r="E235" s="23"/>
      <c r="F235" s="15"/>
    </row>
    <row r="236" customFormat="false" ht="15" hidden="false" customHeight="false" outlineLevel="0" collapsed="false">
      <c r="A236" s="15"/>
      <c r="B236" s="15"/>
      <c r="C236" s="15"/>
      <c r="D236" s="15"/>
      <c r="E236" s="23"/>
      <c r="F236" s="15"/>
    </row>
    <row r="237" customFormat="false" ht="15" hidden="false" customHeight="false" outlineLevel="0" collapsed="false">
      <c r="A237" s="15"/>
      <c r="B237" s="15"/>
      <c r="C237" s="15"/>
      <c r="D237" s="15"/>
      <c r="E237" s="23"/>
      <c r="F237" s="15"/>
    </row>
    <row r="238" customFormat="false" ht="15" hidden="false" customHeight="false" outlineLevel="0" collapsed="false">
      <c r="A238" s="15"/>
      <c r="B238" s="15"/>
      <c r="C238" s="15"/>
      <c r="D238" s="15"/>
      <c r="E238" s="23"/>
      <c r="F238" s="15"/>
    </row>
    <row r="239" customFormat="false" ht="15" hidden="false" customHeight="false" outlineLevel="0" collapsed="false">
      <c r="A239" s="15"/>
      <c r="B239" s="15"/>
      <c r="C239" s="15"/>
      <c r="D239" s="15"/>
      <c r="E239" s="23"/>
      <c r="F239" s="15"/>
    </row>
    <row r="240" customFormat="false" ht="15" hidden="false" customHeight="false" outlineLevel="0" collapsed="false">
      <c r="A240" s="15"/>
      <c r="B240" s="15"/>
      <c r="C240" s="15"/>
      <c r="D240" s="15"/>
      <c r="E240" s="23"/>
      <c r="F240" s="15"/>
    </row>
    <row r="241" customFormat="false" ht="15" hidden="false" customHeight="false" outlineLevel="0" collapsed="false">
      <c r="A241" s="15"/>
      <c r="B241" s="15"/>
      <c r="C241" s="15"/>
      <c r="D241" s="15"/>
      <c r="E241" s="23"/>
      <c r="F241" s="15"/>
    </row>
    <row r="242" customFormat="false" ht="15" hidden="false" customHeight="false" outlineLevel="0" collapsed="false">
      <c r="A242" s="15"/>
      <c r="B242" s="15"/>
      <c r="C242" s="15"/>
      <c r="D242" s="15"/>
      <c r="E242" s="23"/>
      <c r="F242" s="15"/>
    </row>
    <row r="243" customFormat="false" ht="15" hidden="false" customHeight="false" outlineLevel="0" collapsed="false">
      <c r="A243" s="15"/>
      <c r="B243" s="15"/>
      <c r="C243" s="15"/>
      <c r="D243" s="15"/>
      <c r="E243" s="23"/>
      <c r="F243" s="15"/>
    </row>
    <row r="244" customFormat="false" ht="15" hidden="false" customHeight="false" outlineLevel="0" collapsed="false">
      <c r="A244" s="15"/>
      <c r="B244" s="15"/>
      <c r="C244" s="15"/>
      <c r="D244" s="15"/>
      <c r="E244" s="23"/>
      <c r="F244" s="15"/>
    </row>
    <row r="245" customFormat="false" ht="15" hidden="false" customHeight="false" outlineLevel="0" collapsed="false">
      <c r="A245" s="15"/>
      <c r="B245" s="15"/>
      <c r="C245" s="15"/>
      <c r="D245" s="15"/>
      <c r="E245" s="23"/>
      <c r="F245" s="15"/>
    </row>
    <row r="246" customFormat="false" ht="15" hidden="false" customHeight="false" outlineLevel="0" collapsed="false">
      <c r="A246" s="15"/>
      <c r="B246" s="15"/>
      <c r="C246" s="15"/>
      <c r="D246" s="15"/>
      <c r="E246" s="23"/>
      <c r="F246" s="15"/>
    </row>
    <row r="247" customFormat="false" ht="15" hidden="false" customHeight="false" outlineLevel="0" collapsed="false">
      <c r="A247" s="15"/>
      <c r="B247" s="15"/>
      <c r="C247" s="15"/>
      <c r="D247" s="15"/>
      <c r="E247" s="23"/>
      <c r="F247" s="15"/>
    </row>
    <row r="248" customFormat="false" ht="15" hidden="false" customHeight="false" outlineLevel="0" collapsed="false">
      <c r="A248" s="15"/>
      <c r="B248" s="15"/>
      <c r="C248" s="15"/>
      <c r="D248" s="15"/>
      <c r="E248" s="23"/>
      <c r="F248" s="15"/>
    </row>
    <row r="249" customFormat="false" ht="15" hidden="false" customHeight="false" outlineLevel="0" collapsed="false">
      <c r="A249" s="15"/>
      <c r="B249" s="15"/>
      <c r="C249" s="15"/>
      <c r="D249" s="15"/>
      <c r="E249" s="23"/>
      <c r="F249" s="15"/>
    </row>
    <row r="250" customFormat="false" ht="15" hidden="false" customHeight="false" outlineLevel="0" collapsed="false">
      <c r="A250" s="15"/>
      <c r="B250" s="15"/>
      <c r="C250" s="15"/>
      <c r="D250" s="15"/>
      <c r="E250" s="23"/>
      <c r="F250" s="15"/>
    </row>
    <row r="251" customFormat="false" ht="15" hidden="false" customHeight="false" outlineLevel="0" collapsed="false">
      <c r="A251" s="15"/>
      <c r="B251" s="15"/>
      <c r="C251" s="15"/>
      <c r="D251" s="15"/>
      <c r="E251" s="23"/>
      <c r="F251" s="15"/>
    </row>
    <row r="252" customFormat="false" ht="15" hidden="false" customHeight="false" outlineLevel="0" collapsed="false">
      <c r="A252" s="15"/>
      <c r="B252" s="15"/>
      <c r="C252" s="15"/>
      <c r="D252" s="15"/>
      <c r="E252" s="23"/>
      <c r="F252" s="15"/>
    </row>
    <row r="253" customFormat="false" ht="15" hidden="false" customHeight="false" outlineLevel="0" collapsed="false">
      <c r="A253" s="15"/>
      <c r="B253" s="15"/>
      <c r="C253" s="15"/>
      <c r="D253" s="15"/>
      <c r="E253" s="23"/>
      <c r="F253" s="15"/>
    </row>
    <row r="254" customFormat="false" ht="15" hidden="false" customHeight="false" outlineLevel="0" collapsed="false">
      <c r="A254" s="15"/>
      <c r="B254" s="15"/>
      <c r="C254" s="15"/>
      <c r="D254" s="15"/>
      <c r="E254" s="23"/>
      <c r="F254" s="15"/>
    </row>
    <row r="255" customFormat="false" ht="15" hidden="false" customHeight="false" outlineLevel="0" collapsed="false">
      <c r="A255" s="15"/>
      <c r="B255" s="15"/>
      <c r="C255" s="15"/>
      <c r="D255" s="15"/>
      <c r="E255" s="23"/>
      <c r="F255" s="15"/>
    </row>
    <row r="256" customFormat="false" ht="15" hidden="false" customHeight="false" outlineLevel="0" collapsed="false">
      <c r="A256" s="15"/>
      <c r="B256" s="15"/>
      <c r="C256" s="15"/>
      <c r="D256" s="15"/>
      <c r="E256" s="23"/>
      <c r="F256" s="15"/>
    </row>
    <row r="257" customFormat="false" ht="15" hidden="false" customHeight="false" outlineLevel="0" collapsed="false">
      <c r="A257" s="15"/>
      <c r="B257" s="15"/>
      <c r="C257" s="15"/>
      <c r="D257" s="15"/>
      <c r="E257" s="23"/>
      <c r="F257" s="15"/>
    </row>
    <row r="258" customFormat="false" ht="15" hidden="false" customHeight="false" outlineLevel="0" collapsed="false">
      <c r="A258" s="15"/>
      <c r="B258" s="15"/>
      <c r="C258" s="15"/>
      <c r="D258" s="15"/>
      <c r="E258" s="23"/>
      <c r="F258" s="15"/>
    </row>
    <row r="259" customFormat="false" ht="15" hidden="false" customHeight="false" outlineLevel="0" collapsed="false">
      <c r="A259" s="15"/>
      <c r="B259" s="15"/>
      <c r="C259" s="15"/>
      <c r="D259" s="15"/>
      <c r="E259" s="23"/>
      <c r="F259" s="15"/>
    </row>
    <row r="260" customFormat="false" ht="15" hidden="false" customHeight="false" outlineLevel="0" collapsed="false">
      <c r="A260" s="15"/>
      <c r="B260" s="15"/>
      <c r="C260" s="15"/>
      <c r="D260" s="15"/>
      <c r="E260" s="23"/>
      <c r="F260" s="15"/>
    </row>
    <row r="261" customFormat="false" ht="15" hidden="false" customHeight="false" outlineLevel="0" collapsed="false">
      <c r="A261" s="15"/>
      <c r="B261" s="15"/>
      <c r="C261" s="15"/>
      <c r="D261" s="15"/>
      <c r="E261" s="23"/>
      <c r="F261" s="15"/>
    </row>
    <row r="262" customFormat="false" ht="15" hidden="false" customHeight="false" outlineLevel="0" collapsed="false">
      <c r="A262" s="15"/>
      <c r="B262" s="15"/>
      <c r="C262" s="15"/>
      <c r="D262" s="15"/>
      <c r="E262" s="23"/>
      <c r="F262" s="15"/>
    </row>
    <row r="263" customFormat="false" ht="15" hidden="false" customHeight="false" outlineLevel="0" collapsed="false">
      <c r="A263" s="15"/>
      <c r="B263" s="15"/>
      <c r="C263" s="15"/>
      <c r="D263" s="15"/>
      <c r="E263" s="23"/>
      <c r="F263" s="15"/>
    </row>
    <row r="264" customFormat="false" ht="15" hidden="false" customHeight="false" outlineLevel="0" collapsed="false">
      <c r="A264" s="15"/>
      <c r="B264" s="15"/>
      <c r="C264" s="15"/>
      <c r="D264" s="15"/>
      <c r="E264" s="23"/>
      <c r="F264" s="15"/>
    </row>
    <row r="265" customFormat="false" ht="15" hidden="false" customHeight="false" outlineLevel="0" collapsed="false">
      <c r="A265" s="15"/>
      <c r="B265" s="15"/>
      <c r="C265" s="15"/>
      <c r="D265" s="15"/>
      <c r="E265" s="23"/>
      <c r="F265" s="15"/>
    </row>
    <row r="266" customFormat="false" ht="15" hidden="false" customHeight="false" outlineLevel="0" collapsed="false">
      <c r="A266" s="15"/>
      <c r="B266" s="15"/>
      <c r="C266" s="15"/>
      <c r="D266" s="15"/>
      <c r="E266" s="23"/>
      <c r="F266" s="15"/>
    </row>
    <row r="267" customFormat="false" ht="15" hidden="false" customHeight="false" outlineLevel="0" collapsed="false">
      <c r="A267" s="15"/>
      <c r="B267" s="15"/>
      <c r="C267" s="15"/>
      <c r="D267" s="15"/>
      <c r="E267" s="23"/>
      <c r="F267" s="15"/>
    </row>
    <row r="268" customFormat="false" ht="15" hidden="false" customHeight="false" outlineLevel="0" collapsed="false">
      <c r="A268" s="15"/>
      <c r="B268" s="15"/>
      <c r="C268" s="15"/>
      <c r="D268" s="15"/>
      <c r="E268" s="23"/>
      <c r="F268" s="15"/>
    </row>
    <row r="269" customFormat="false" ht="15" hidden="false" customHeight="false" outlineLevel="0" collapsed="false">
      <c r="A269" s="15"/>
      <c r="B269" s="15"/>
      <c r="C269" s="15"/>
      <c r="D269" s="15"/>
      <c r="E269" s="23"/>
      <c r="F269" s="15"/>
    </row>
    <row r="270" customFormat="false" ht="15" hidden="false" customHeight="false" outlineLevel="0" collapsed="false">
      <c r="A270" s="15"/>
      <c r="B270" s="15"/>
      <c r="C270" s="15"/>
      <c r="D270" s="15"/>
      <c r="E270" s="23"/>
      <c r="F270" s="15"/>
    </row>
    <row r="271" customFormat="false" ht="15" hidden="false" customHeight="false" outlineLevel="0" collapsed="false">
      <c r="A271" s="15"/>
      <c r="B271" s="15"/>
      <c r="C271" s="15"/>
      <c r="D271" s="15"/>
      <c r="E271" s="23"/>
      <c r="F271" s="15"/>
    </row>
    <row r="272" customFormat="false" ht="15" hidden="false" customHeight="false" outlineLevel="0" collapsed="false">
      <c r="A272" s="15"/>
      <c r="B272" s="15"/>
      <c r="C272" s="15"/>
      <c r="D272" s="15"/>
      <c r="E272" s="23"/>
      <c r="F272" s="15"/>
    </row>
    <row r="273" customFormat="false" ht="15" hidden="false" customHeight="false" outlineLevel="0" collapsed="false">
      <c r="A273" s="15"/>
      <c r="B273" s="15"/>
      <c r="C273" s="15"/>
      <c r="D273" s="15"/>
      <c r="E273" s="23"/>
      <c r="F273" s="15"/>
    </row>
    <row r="274" customFormat="false" ht="15" hidden="false" customHeight="false" outlineLevel="0" collapsed="false">
      <c r="A274" s="15"/>
      <c r="B274" s="15"/>
      <c r="C274" s="15"/>
      <c r="D274" s="15"/>
      <c r="E274" s="23"/>
      <c r="F274" s="15"/>
    </row>
    <row r="275" customFormat="false" ht="15" hidden="false" customHeight="false" outlineLevel="0" collapsed="false">
      <c r="A275" s="15"/>
      <c r="B275" s="15"/>
      <c r="C275" s="15"/>
      <c r="D275" s="15"/>
      <c r="E275" s="23"/>
      <c r="F275" s="15"/>
    </row>
    <row r="276" customFormat="false" ht="15" hidden="false" customHeight="false" outlineLevel="0" collapsed="false">
      <c r="A276" s="15"/>
      <c r="B276" s="15"/>
      <c r="C276" s="15"/>
      <c r="D276" s="15"/>
      <c r="E276" s="23"/>
      <c r="F276" s="15"/>
    </row>
    <row r="277" customFormat="false" ht="15" hidden="false" customHeight="false" outlineLevel="0" collapsed="false">
      <c r="A277" s="15"/>
      <c r="B277" s="15"/>
      <c r="C277" s="15"/>
      <c r="D277" s="15"/>
      <c r="E277" s="23"/>
      <c r="F277" s="15"/>
    </row>
    <row r="278" customFormat="false" ht="15" hidden="false" customHeight="false" outlineLevel="0" collapsed="false">
      <c r="A278" s="15"/>
      <c r="B278" s="15"/>
      <c r="C278" s="15"/>
      <c r="D278" s="15"/>
      <c r="E278" s="23"/>
      <c r="F278" s="15"/>
    </row>
    <row r="279" customFormat="false" ht="15" hidden="false" customHeight="false" outlineLevel="0" collapsed="false">
      <c r="A279" s="15"/>
      <c r="B279" s="15"/>
      <c r="C279" s="15"/>
      <c r="D279" s="15"/>
      <c r="E279" s="23"/>
      <c r="F279" s="15"/>
    </row>
    <row r="280" customFormat="false" ht="15" hidden="false" customHeight="false" outlineLevel="0" collapsed="false">
      <c r="A280" s="15"/>
      <c r="B280" s="15"/>
      <c r="C280" s="15"/>
      <c r="D280" s="15"/>
      <c r="E280" s="23"/>
      <c r="F280" s="15"/>
    </row>
    <row r="281" customFormat="false" ht="15" hidden="false" customHeight="false" outlineLevel="0" collapsed="false">
      <c r="A281" s="15"/>
      <c r="B281" s="15"/>
      <c r="C281" s="15"/>
      <c r="D281" s="15"/>
      <c r="E281" s="23"/>
      <c r="F281" s="15"/>
    </row>
    <row r="282" customFormat="false" ht="15" hidden="false" customHeight="false" outlineLevel="0" collapsed="false">
      <c r="A282" s="15"/>
      <c r="B282" s="15"/>
      <c r="C282" s="15"/>
      <c r="D282" s="15"/>
      <c r="E282" s="23"/>
      <c r="F282" s="15"/>
    </row>
    <row r="283" customFormat="false" ht="15" hidden="false" customHeight="false" outlineLevel="0" collapsed="false">
      <c r="A283" s="15"/>
      <c r="B283" s="15"/>
      <c r="C283" s="15"/>
      <c r="D283" s="15"/>
      <c r="E283" s="23"/>
      <c r="F283" s="15"/>
    </row>
    <row r="284" customFormat="false" ht="15" hidden="false" customHeight="false" outlineLevel="0" collapsed="false">
      <c r="A284" s="15"/>
      <c r="B284" s="15"/>
      <c r="C284" s="15"/>
      <c r="D284" s="15"/>
      <c r="E284" s="23"/>
      <c r="F284" s="15"/>
    </row>
    <row r="285" customFormat="false" ht="15" hidden="false" customHeight="false" outlineLevel="0" collapsed="false">
      <c r="A285" s="15"/>
      <c r="B285" s="15"/>
      <c r="C285" s="15"/>
      <c r="D285" s="15"/>
      <c r="E285" s="23"/>
      <c r="F285" s="15"/>
    </row>
    <row r="286" customFormat="false" ht="15" hidden="false" customHeight="false" outlineLevel="0" collapsed="false">
      <c r="A286" s="15"/>
      <c r="B286" s="15"/>
      <c r="C286" s="15"/>
      <c r="D286" s="15"/>
      <c r="E286" s="23"/>
      <c r="F286" s="15"/>
    </row>
    <row r="287" customFormat="false" ht="15" hidden="false" customHeight="false" outlineLevel="0" collapsed="false">
      <c r="A287" s="15"/>
      <c r="B287" s="15"/>
      <c r="C287" s="15"/>
      <c r="D287" s="15"/>
      <c r="E287" s="23"/>
      <c r="F287" s="15"/>
    </row>
    <row r="288" customFormat="false" ht="15" hidden="false" customHeight="false" outlineLevel="0" collapsed="false">
      <c r="A288" s="15"/>
      <c r="B288" s="15"/>
      <c r="C288" s="15"/>
      <c r="D288" s="15"/>
      <c r="E288" s="23"/>
      <c r="F288" s="15"/>
    </row>
    <row r="289" customFormat="false" ht="15" hidden="false" customHeight="false" outlineLevel="0" collapsed="false">
      <c r="A289" s="15"/>
      <c r="B289" s="15"/>
      <c r="C289" s="15"/>
      <c r="D289" s="15"/>
      <c r="E289" s="23"/>
      <c r="F289" s="15"/>
    </row>
    <row r="290" customFormat="false" ht="15" hidden="false" customHeight="false" outlineLevel="0" collapsed="false">
      <c r="A290" s="15"/>
      <c r="B290" s="15"/>
      <c r="C290" s="15"/>
      <c r="D290" s="15"/>
      <c r="E290" s="23"/>
      <c r="F290" s="15"/>
    </row>
    <row r="291" customFormat="false" ht="15" hidden="false" customHeight="false" outlineLevel="0" collapsed="false">
      <c r="A291" s="15"/>
      <c r="B291" s="15"/>
      <c r="C291" s="15"/>
      <c r="D291" s="15"/>
      <c r="E291" s="23"/>
      <c r="F291" s="15"/>
    </row>
    <row r="292" customFormat="false" ht="15" hidden="false" customHeight="false" outlineLevel="0" collapsed="false">
      <c r="A292" s="15"/>
      <c r="B292" s="15"/>
      <c r="C292" s="15"/>
      <c r="D292" s="15"/>
      <c r="E292" s="23"/>
      <c r="F292" s="15"/>
    </row>
    <row r="293" customFormat="false" ht="15" hidden="false" customHeight="false" outlineLevel="0" collapsed="false">
      <c r="A293" s="15"/>
      <c r="B293" s="15"/>
      <c r="C293" s="15"/>
      <c r="D293" s="15"/>
      <c r="E293" s="23"/>
      <c r="F293" s="15"/>
    </row>
    <row r="294" customFormat="false" ht="15" hidden="false" customHeight="false" outlineLevel="0" collapsed="false">
      <c r="A294" s="15"/>
      <c r="B294" s="15"/>
      <c r="C294" s="15"/>
      <c r="D294" s="15"/>
      <c r="E294" s="23"/>
      <c r="F294" s="15"/>
    </row>
    <row r="295" customFormat="false" ht="15" hidden="false" customHeight="false" outlineLevel="0" collapsed="false">
      <c r="A295" s="15"/>
      <c r="B295" s="15"/>
      <c r="C295" s="15"/>
      <c r="D295" s="15"/>
      <c r="E295" s="23"/>
      <c r="F295" s="15"/>
    </row>
    <row r="296" customFormat="false" ht="15" hidden="false" customHeight="false" outlineLevel="0" collapsed="false">
      <c r="A296" s="15"/>
      <c r="B296" s="15"/>
      <c r="C296" s="15"/>
      <c r="D296" s="15"/>
      <c r="E296" s="23"/>
      <c r="F296" s="15"/>
    </row>
    <row r="297" customFormat="false" ht="15" hidden="false" customHeight="false" outlineLevel="0" collapsed="false">
      <c r="A297" s="15"/>
      <c r="B297" s="15"/>
      <c r="C297" s="15"/>
      <c r="D297" s="15"/>
      <c r="E297" s="23"/>
      <c r="F297" s="15"/>
    </row>
    <row r="298" customFormat="false" ht="15" hidden="false" customHeight="false" outlineLevel="0" collapsed="false">
      <c r="A298" s="15"/>
      <c r="B298" s="15"/>
      <c r="C298" s="15"/>
      <c r="D298" s="15"/>
      <c r="E298" s="23"/>
      <c r="F298" s="15"/>
    </row>
    <row r="299" customFormat="false" ht="15" hidden="false" customHeight="false" outlineLevel="0" collapsed="false">
      <c r="A299" s="15"/>
      <c r="B299" s="15"/>
      <c r="C299" s="15"/>
      <c r="D299" s="15"/>
      <c r="E299" s="23"/>
      <c r="F299" s="15"/>
    </row>
    <row r="300" customFormat="false" ht="15" hidden="false" customHeight="false" outlineLevel="0" collapsed="false">
      <c r="A300" s="15"/>
      <c r="B300" s="15"/>
      <c r="C300" s="15"/>
      <c r="D300" s="15"/>
      <c r="E300" s="23"/>
      <c r="F300" s="15"/>
    </row>
    <row r="301" customFormat="false" ht="15" hidden="false" customHeight="false" outlineLevel="0" collapsed="false">
      <c r="A301" s="15"/>
      <c r="B301" s="15"/>
      <c r="C301" s="15"/>
      <c r="D301" s="15"/>
      <c r="E301" s="23"/>
      <c r="F301" s="15"/>
    </row>
    <row r="302" customFormat="false" ht="15" hidden="false" customHeight="false" outlineLevel="0" collapsed="false">
      <c r="A302" s="15"/>
      <c r="B302" s="15"/>
      <c r="C302" s="15"/>
      <c r="D302" s="15"/>
      <c r="E302" s="23"/>
      <c r="F302" s="15"/>
    </row>
    <row r="303" customFormat="false" ht="15" hidden="false" customHeight="false" outlineLevel="0" collapsed="false">
      <c r="A303" s="15"/>
      <c r="B303" s="15"/>
      <c r="C303" s="15"/>
      <c r="D303" s="15"/>
      <c r="E303" s="23"/>
      <c r="F303" s="15"/>
    </row>
  </sheetData>
  <mergeCells count="1">
    <mergeCell ref="A1:F1"/>
  </mergeCells>
  <dataValidations count="2">
    <dataValidation allowBlank="true" errorStyle="stop" operator="between" showDropDown="false" showErrorMessage="false" showInputMessage="false" sqref="D4:D303" type="list">
      <formula1>Settings!$C$11:$C$21</formula1>
      <formula2>0</formula2>
    </dataValidation>
    <dataValidation allowBlank="true" errorStyle="stop" operator="between" showDropDown="false" showErrorMessage="false" showInputMessage="false" sqref="F4:F30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7"/>
    <col collapsed="false" customWidth="true" hidden="false" outlineLevel="0" max="6" min="4" style="0" width="15"/>
    <col collapsed="false" customWidth="true" hidden="false" outlineLevel="0" max="7" min="7" style="0" width="16"/>
  </cols>
  <sheetData>
    <row r="1" customFormat="false" ht="30" hidden="false" customHeight="true" outlineLevel="0" collapsed="false">
      <c r="A1" s="1" t="s">
        <v>87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88</v>
      </c>
    </row>
    <row r="3" customFormat="false" ht="25.5" hidden="false" customHeight="true" outlineLevel="0" collapsed="false">
      <c r="A3" s="19" t="s">
        <v>89</v>
      </c>
      <c r="B3" s="19" t="s">
        <v>90</v>
      </c>
      <c r="C3" s="19" t="s">
        <v>91</v>
      </c>
      <c r="D3" s="19" t="s">
        <v>92</v>
      </c>
      <c r="E3" s="19" t="s">
        <v>9</v>
      </c>
      <c r="F3" s="19" t="s">
        <v>10</v>
      </c>
      <c r="G3" s="19" t="s">
        <v>11</v>
      </c>
    </row>
    <row r="4" customFormat="false" ht="15" hidden="false" customHeight="false" outlineLevel="0" collapsed="false">
      <c r="A4" s="22" t="s">
        <v>93</v>
      </c>
      <c r="B4" s="10" t="n">
        <f aca="false">SUMPRODUCT((LEFT(Income!$A$4:$A$303,7)=$A4)*Income!$E$4:$E$303)</f>
        <v>1500</v>
      </c>
      <c r="C4" s="10" t="n">
        <f aca="false">SUMPRODUCT((LEFT(Income!$F$4:$F$303,7)=$A4)*Income!$E$4:$E$303)</f>
        <v>0</v>
      </c>
      <c r="D4" s="10" t="n">
        <f aca="false">SUMPRODUCT((LEFT(Expenses!$A$4:$A$303,7)=$A4)*Expenses!$E$4:$E$303)</f>
        <v>59.99</v>
      </c>
      <c r="E4" s="10" t="n">
        <f aca="false">B4-D4</f>
        <v>1440.01</v>
      </c>
      <c r="F4" s="10" t="n">
        <f aca="false">IF(E4&gt;0,E4*Settings!$B$5,0)</f>
        <v>360.0025</v>
      </c>
      <c r="G4" s="10" t="n">
        <f aca="false">E4-F4</f>
        <v>1080.0075</v>
      </c>
    </row>
    <row r="5" customFormat="false" ht="15" hidden="false" customHeight="false" outlineLevel="0" collapsed="false">
      <c r="A5" s="22" t="s">
        <v>94</v>
      </c>
      <c r="B5" s="10" t="n">
        <f aca="false">SUMPRODUCT((LEFT(Income!$A$4:$A$303,7)=$A5)*Income!$E$4:$E$303)</f>
        <v>0</v>
      </c>
      <c r="C5" s="10" t="n">
        <f aca="false">SUMPRODUCT((LEFT(Income!$F$4:$F$303,7)=$A5)*Income!$E$4:$E$303)</f>
        <v>1500</v>
      </c>
      <c r="D5" s="10" t="n">
        <f aca="false">SUMPRODUCT((LEFT(Expenses!$A$4:$A$303,7)=$A5)*Expenses!$E$4:$E$303)</f>
        <v>0</v>
      </c>
      <c r="E5" s="10" t="n">
        <f aca="false">B5-D5</f>
        <v>0</v>
      </c>
      <c r="F5" s="10" t="n">
        <f aca="false">IF(E5&gt;0,E5*Settings!$B$5,0)</f>
        <v>0</v>
      </c>
      <c r="G5" s="10" t="n">
        <f aca="false">E5-F5</f>
        <v>0</v>
      </c>
    </row>
    <row r="6" customFormat="false" ht="15" hidden="false" customHeight="false" outlineLevel="0" collapsed="false">
      <c r="A6" s="22" t="s">
        <v>95</v>
      </c>
      <c r="B6" s="10" t="n">
        <f aca="false">SUMPRODUCT((LEFT(Income!$A$4:$A$303,7)=$A6)*Income!$E$4:$E$303)</f>
        <v>0</v>
      </c>
      <c r="C6" s="10" t="n">
        <f aca="false">SUMPRODUCT((LEFT(Income!$F$4:$F$303,7)=$A6)*Income!$E$4:$E$303)</f>
        <v>0</v>
      </c>
      <c r="D6" s="10" t="n">
        <f aca="false">SUMPRODUCT((LEFT(Expenses!$A$4:$A$303,7)=$A6)*Expenses!$E$4:$E$303)</f>
        <v>0</v>
      </c>
      <c r="E6" s="10" t="n">
        <f aca="false">B6-D6</f>
        <v>0</v>
      </c>
      <c r="F6" s="10" t="n">
        <f aca="false">IF(E6&gt;0,E6*Settings!$B$5,0)</f>
        <v>0</v>
      </c>
      <c r="G6" s="10" t="n">
        <f aca="false">E6-F6</f>
        <v>0</v>
      </c>
    </row>
    <row r="7" customFormat="false" ht="15" hidden="false" customHeight="false" outlineLevel="0" collapsed="false">
      <c r="A7" s="22" t="s">
        <v>96</v>
      </c>
      <c r="B7" s="10" t="n">
        <f aca="false">SUMPRODUCT((LEFT(Income!$A$4:$A$303,7)=$A7)*Income!$E$4:$E$303)</f>
        <v>0</v>
      </c>
      <c r="C7" s="10" t="n">
        <f aca="false">SUMPRODUCT((LEFT(Income!$F$4:$F$303,7)=$A7)*Income!$E$4:$E$303)</f>
        <v>0</v>
      </c>
      <c r="D7" s="10" t="n">
        <f aca="false">SUMPRODUCT((LEFT(Expenses!$A$4:$A$303,7)=$A7)*Expenses!$E$4:$E$303)</f>
        <v>0</v>
      </c>
      <c r="E7" s="10" t="n">
        <f aca="false">B7-D7</f>
        <v>0</v>
      </c>
      <c r="F7" s="10" t="n">
        <f aca="false">IF(E7&gt;0,E7*Settings!$B$5,0)</f>
        <v>0</v>
      </c>
      <c r="G7" s="10" t="n">
        <f aca="false">E7-F7</f>
        <v>0</v>
      </c>
    </row>
    <row r="8" customFormat="false" ht="15" hidden="false" customHeight="false" outlineLevel="0" collapsed="false">
      <c r="A8" s="22" t="s">
        <v>97</v>
      </c>
      <c r="B8" s="10" t="n">
        <f aca="false">SUMPRODUCT((LEFT(Income!$A$4:$A$303,7)=$A8)*Income!$E$4:$E$303)</f>
        <v>0</v>
      </c>
      <c r="C8" s="10" t="n">
        <f aca="false">SUMPRODUCT((LEFT(Income!$F$4:$F$303,7)=$A8)*Income!$E$4:$E$303)</f>
        <v>0</v>
      </c>
      <c r="D8" s="10" t="n">
        <f aca="false">SUMPRODUCT((LEFT(Expenses!$A$4:$A$303,7)=$A8)*Expenses!$E$4:$E$303)</f>
        <v>0</v>
      </c>
      <c r="E8" s="10" t="n">
        <f aca="false">B8-D8</f>
        <v>0</v>
      </c>
      <c r="F8" s="10" t="n">
        <f aca="false">IF(E8&gt;0,E8*Settings!$B$5,0)</f>
        <v>0</v>
      </c>
      <c r="G8" s="10" t="n">
        <f aca="false">E8-F8</f>
        <v>0</v>
      </c>
    </row>
    <row r="9" customFormat="false" ht="15" hidden="false" customHeight="false" outlineLevel="0" collapsed="false">
      <c r="A9" s="22" t="s">
        <v>98</v>
      </c>
      <c r="B9" s="10" t="n">
        <f aca="false">SUMPRODUCT((LEFT(Income!$A$4:$A$303,7)=$A9)*Income!$E$4:$E$303)</f>
        <v>0</v>
      </c>
      <c r="C9" s="10" t="n">
        <f aca="false">SUMPRODUCT((LEFT(Income!$F$4:$F$303,7)=$A9)*Income!$E$4:$E$303)</f>
        <v>0</v>
      </c>
      <c r="D9" s="10" t="n">
        <f aca="false">SUMPRODUCT((LEFT(Expenses!$A$4:$A$303,7)=$A9)*Expenses!$E$4:$E$303)</f>
        <v>0</v>
      </c>
      <c r="E9" s="10" t="n">
        <f aca="false">B9-D9</f>
        <v>0</v>
      </c>
      <c r="F9" s="10" t="n">
        <f aca="false">IF(E9&gt;0,E9*Settings!$B$5,0)</f>
        <v>0</v>
      </c>
      <c r="G9" s="10" t="n">
        <f aca="false">E9-F9</f>
        <v>0</v>
      </c>
    </row>
    <row r="10" customFormat="false" ht="15" hidden="false" customHeight="false" outlineLevel="0" collapsed="false">
      <c r="A10" s="22" t="s">
        <v>99</v>
      </c>
      <c r="B10" s="10" t="n">
        <f aca="false">SUMPRODUCT((LEFT(Income!$A$4:$A$303,7)=$A10)*Income!$E$4:$E$303)</f>
        <v>0</v>
      </c>
      <c r="C10" s="10" t="n">
        <f aca="false">SUMPRODUCT((LEFT(Income!$F$4:$F$303,7)=$A10)*Income!$E$4:$E$303)</f>
        <v>0</v>
      </c>
      <c r="D10" s="10" t="n">
        <f aca="false">SUMPRODUCT((LEFT(Expenses!$A$4:$A$303,7)=$A10)*Expenses!$E$4:$E$303)</f>
        <v>0</v>
      </c>
      <c r="E10" s="10" t="n">
        <f aca="false">B10-D10</f>
        <v>0</v>
      </c>
      <c r="F10" s="10" t="n">
        <f aca="false">IF(E10&gt;0,E10*Settings!$B$5,0)</f>
        <v>0</v>
      </c>
      <c r="G10" s="10" t="n">
        <f aca="false">E10-F10</f>
        <v>0</v>
      </c>
    </row>
    <row r="11" customFormat="false" ht="15" hidden="false" customHeight="false" outlineLevel="0" collapsed="false">
      <c r="A11" s="22" t="s">
        <v>100</v>
      </c>
      <c r="B11" s="10" t="n">
        <f aca="false">SUMPRODUCT((LEFT(Income!$A$4:$A$303,7)=$A11)*Income!$E$4:$E$303)</f>
        <v>0</v>
      </c>
      <c r="C11" s="10" t="n">
        <f aca="false">SUMPRODUCT((LEFT(Income!$F$4:$F$303,7)=$A11)*Income!$E$4:$E$303)</f>
        <v>0</v>
      </c>
      <c r="D11" s="10" t="n">
        <f aca="false">SUMPRODUCT((LEFT(Expenses!$A$4:$A$303,7)=$A11)*Expenses!$E$4:$E$303)</f>
        <v>0</v>
      </c>
      <c r="E11" s="10" t="n">
        <f aca="false">B11-D11</f>
        <v>0</v>
      </c>
      <c r="F11" s="10" t="n">
        <f aca="false">IF(E11&gt;0,E11*Settings!$B$5,0)</f>
        <v>0</v>
      </c>
      <c r="G11" s="10" t="n">
        <f aca="false">E11-F11</f>
        <v>0</v>
      </c>
    </row>
    <row r="12" customFormat="false" ht="15" hidden="false" customHeight="false" outlineLevel="0" collapsed="false">
      <c r="A12" s="22" t="s">
        <v>101</v>
      </c>
      <c r="B12" s="10" t="n">
        <f aca="false">SUMPRODUCT((LEFT(Income!$A$4:$A$303,7)=$A12)*Income!$E$4:$E$303)</f>
        <v>0</v>
      </c>
      <c r="C12" s="10" t="n">
        <f aca="false">SUMPRODUCT((LEFT(Income!$F$4:$F$303,7)=$A12)*Income!$E$4:$E$303)</f>
        <v>0</v>
      </c>
      <c r="D12" s="10" t="n">
        <f aca="false">SUMPRODUCT((LEFT(Expenses!$A$4:$A$303,7)=$A12)*Expenses!$E$4:$E$303)</f>
        <v>0</v>
      </c>
      <c r="E12" s="10" t="n">
        <f aca="false">B12-D12</f>
        <v>0</v>
      </c>
      <c r="F12" s="10" t="n">
        <f aca="false">IF(E12&gt;0,E12*Settings!$B$5,0)</f>
        <v>0</v>
      </c>
      <c r="G12" s="10" t="n">
        <f aca="false">E12-F12</f>
        <v>0</v>
      </c>
    </row>
    <row r="13" customFormat="false" ht="15" hidden="false" customHeight="false" outlineLevel="0" collapsed="false">
      <c r="A13" s="22" t="s">
        <v>102</v>
      </c>
      <c r="B13" s="10" t="n">
        <f aca="false">SUMPRODUCT((LEFT(Income!$A$4:$A$303,7)=$A13)*Income!$E$4:$E$303)</f>
        <v>0</v>
      </c>
      <c r="C13" s="10" t="n">
        <f aca="false">SUMPRODUCT((LEFT(Income!$F$4:$F$303,7)=$A13)*Income!$E$4:$E$303)</f>
        <v>0</v>
      </c>
      <c r="D13" s="10" t="n">
        <f aca="false">SUMPRODUCT((LEFT(Expenses!$A$4:$A$303,7)=$A13)*Expenses!$E$4:$E$303)</f>
        <v>0</v>
      </c>
      <c r="E13" s="10" t="n">
        <f aca="false">B13-D13</f>
        <v>0</v>
      </c>
      <c r="F13" s="10" t="n">
        <f aca="false">IF(E13&gt;0,E13*Settings!$B$5,0)</f>
        <v>0</v>
      </c>
      <c r="G13" s="10" t="n">
        <f aca="false">E13-F13</f>
        <v>0</v>
      </c>
    </row>
    <row r="14" customFormat="false" ht="15" hidden="false" customHeight="false" outlineLevel="0" collapsed="false">
      <c r="A14" s="22" t="s">
        <v>103</v>
      </c>
      <c r="B14" s="10" t="n">
        <f aca="false">SUMPRODUCT((LEFT(Income!$A$4:$A$303,7)=$A14)*Income!$E$4:$E$303)</f>
        <v>0</v>
      </c>
      <c r="C14" s="10" t="n">
        <f aca="false">SUMPRODUCT((LEFT(Income!$F$4:$F$303,7)=$A14)*Income!$E$4:$E$303)</f>
        <v>0</v>
      </c>
      <c r="D14" s="10" t="n">
        <f aca="false">SUMPRODUCT((LEFT(Expenses!$A$4:$A$303,7)=$A14)*Expenses!$E$4:$E$303)</f>
        <v>0</v>
      </c>
      <c r="E14" s="10" t="n">
        <f aca="false">B14-D14</f>
        <v>0</v>
      </c>
      <c r="F14" s="10" t="n">
        <f aca="false">IF(E14&gt;0,E14*Settings!$B$5,0)</f>
        <v>0</v>
      </c>
      <c r="G14" s="10" t="n">
        <f aca="false">E14-F14</f>
        <v>0</v>
      </c>
    </row>
    <row r="15" customFormat="false" ht="15" hidden="false" customHeight="false" outlineLevel="0" collapsed="false">
      <c r="A15" s="22" t="s">
        <v>104</v>
      </c>
      <c r="B15" s="10" t="n">
        <f aca="false">SUMPRODUCT((LEFT(Income!$A$4:$A$303,7)=$A15)*Income!$E$4:$E$303)</f>
        <v>0</v>
      </c>
      <c r="C15" s="10" t="n">
        <f aca="false">SUMPRODUCT((LEFT(Income!$F$4:$F$303,7)=$A15)*Income!$E$4:$E$303)</f>
        <v>0</v>
      </c>
      <c r="D15" s="10" t="n">
        <f aca="false">SUMPRODUCT((LEFT(Expenses!$A$4:$A$303,7)=$A15)*Expenses!$E$4:$E$303)</f>
        <v>0</v>
      </c>
      <c r="E15" s="10" t="n">
        <f aca="false">B15-D15</f>
        <v>0</v>
      </c>
      <c r="F15" s="10" t="n">
        <f aca="false">IF(E15&gt;0,E15*Settings!$B$5,0)</f>
        <v>0</v>
      </c>
      <c r="G15" s="10" t="n">
        <f aca="false">E15-F15</f>
        <v>0</v>
      </c>
    </row>
    <row r="16" customFormat="false" ht="15" hidden="false" customHeight="false" outlineLevel="0" collapsed="false">
      <c r="A16" s="24" t="s">
        <v>105</v>
      </c>
      <c r="B16" s="25" t="n">
        <f aca="false">SUM(B4:B15)</f>
        <v>1500</v>
      </c>
      <c r="C16" s="25" t="n">
        <f aca="false">SUM(C4:C15)</f>
        <v>1500</v>
      </c>
      <c r="D16" s="25" t="n">
        <f aca="false">SUM(D4:D15)</f>
        <v>59.99</v>
      </c>
      <c r="E16" s="25" t="n">
        <f aca="false">SUM(E4:E15)</f>
        <v>1440.01</v>
      </c>
      <c r="F16" s="25" t="n">
        <f aca="false">SUM(F4:F15)</f>
        <v>360.0025</v>
      </c>
      <c r="G16" s="25" t="n">
        <f aca="false">SUM(G4:G15)</f>
        <v>1080.0075</v>
      </c>
    </row>
  </sheetData>
  <mergeCells count="1">
    <mergeCell ref="A1:G1"/>
  </mergeCells>
  <conditionalFormatting sqref="E4:E15">
    <cfRule type="cellIs" priority="2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  <col collapsed="false" customWidth="true" hidden="false" outlineLevel="0" max="5" min="5" style="0" width="11"/>
    <col collapsed="false" customWidth="true" hidden="false" outlineLevel="0" max="6" min="6" style="0" width="17"/>
  </cols>
  <sheetData>
    <row r="1" customFormat="false" ht="30" hidden="false" customHeight="true" outlineLevel="0" collapsed="false">
      <c r="A1" s="1" t="s">
        <v>106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107</v>
      </c>
    </row>
    <row r="3" customFormat="false" ht="25.5" hidden="false" customHeight="true" outlineLevel="0" collapsed="false">
      <c r="A3" s="19" t="s">
        <v>68</v>
      </c>
      <c r="B3" s="19" t="s">
        <v>108</v>
      </c>
      <c r="C3" s="19" t="s">
        <v>109</v>
      </c>
      <c r="D3" s="19" t="s">
        <v>6</v>
      </c>
      <c r="E3" s="19" t="s">
        <v>110</v>
      </c>
      <c r="F3" s="19" t="s">
        <v>111</v>
      </c>
    </row>
    <row r="4" customFormat="false" ht="15" hidden="false" customHeight="false" outlineLevel="0" collapsed="false">
      <c r="A4" s="15"/>
      <c r="B4" s="10" t="str">
        <f aca="false">IF($A4="","",SUMIF(Income!$B$4:$B$303,$A4,Income!$E$4:$E$303))</f>
        <v/>
      </c>
      <c r="C4" s="10" t="str">
        <f aca="false">IF($A4="","",SUMPRODUCT((Income!$B$4:$B$303=$A4)*(Income!$F$4:$F$303&lt;&gt;"")*Income!$E$4:$E$303))</f>
        <v/>
      </c>
      <c r="D4" s="10" t="str">
        <f aca="false">IF($A4="","",B4-C4)</f>
        <v/>
      </c>
      <c r="E4" s="26" t="str">
        <f aca="false">IF($A4="","",COUNTIF(Income!$B$4:$B$303,$A4))</f>
        <v/>
      </c>
      <c r="F4" s="27" t="str">
        <f aca="false">IF(OR($A4="",SUM(Income!$E$4:$E$303)=0),"",B4/SUM(Income!$E$4:$E$303))</f>
        <v/>
      </c>
    </row>
    <row r="5" customFormat="false" ht="15" hidden="false" customHeight="false" outlineLevel="0" collapsed="false">
      <c r="A5" s="15"/>
      <c r="B5" s="10" t="str">
        <f aca="false">IF($A5="","",SUMIF(Income!$B$4:$B$303,$A5,Income!$E$4:$E$303))</f>
        <v/>
      </c>
      <c r="C5" s="10" t="str">
        <f aca="false">IF($A5="","",SUMPRODUCT((Income!$B$4:$B$303=$A5)*(Income!$F$4:$F$303&lt;&gt;"")*Income!$E$4:$E$303))</f>
        <v/>
      </c>
      <c r="D5" s="10" t="str">
        <f aca="false">IF($A5="","",B5-C5)</f>
        <v/>
      </c>
      <c r="E5" s="26" t="str">
        <f aca="false">IF($A5="","",COUNTIF(Income!$B$4:$B$303,$A5))</f>
        <v/>
      </c>
      <c r="F5" s="27" t="str">
        <f aca="false">IF(OR($A5="",SUM(Income!$E$4:$E$303)=0),"",B5/SUM(Income!$E$4:$E$303))</f>
        <v/>
      </c>
    </row>
    <row r="6" customFormat="false" ht="15" hidden="false" customHeight="false" outlineLevel="0" collapsed="false">
      <c r="A6" s="15"/>
      <c r="B6" s="10" t="str">
        <f aca="false">IF($A6="","",SUMIF(Income!$B$4:$B$303,$A6,Income!$E$4:$E$303))</f>
        <v/>
      </c>
      <c r="C6" s="10" t="str">
        <f aca="false">IF($A6="","",SUMPRODUCT((Income!$B$4:$B$303=$A6)*(Income!$F$4:$F$303&lt;&gt;"")*Income!$E$4:$E$303))</f>
        <v/>
      </c>
      <c r="D6" s="10" t="str">
        <f aca="false">IF($A6="","",B6-C6)</f>
        <v/>
      </c>
      <c r="E6" s="26" t="str">
        <f aca="false">IF($A6="","",COUNTIF(Income!$B$4:$B$303,$A6))</f>
        <v/>
      </c>
      <c r="F6" s="27" t="str">
        <f aca="false">IF(OR($A6="",SUM(Income!$E$4:$E$303)=0),"",B6/SUM(Income!$E$4:$E$303))</f>
        <v/>
      </c>
    </row>
    <row r="7" customFormat="false" ht="15" hidden="false" customHeight="false" outlineLevel="0" collapsed="false">
      <c r="A7" s="15"/>
      <c r="B7" s="10" t="str">
        <f aca="false">IF($A7="","",SUMIF(Income!$B$4:$B$303,$A7,Income!$E$4:$E$303))</f>
        <v/>
      </c>
      <c r="C7" s="10" t="str">
        <f aca="false">IF($A7="","",SUMPRODUCT((Income!$B$4:$B$303=$A7)*(Income!$F$4:$F$303&lt;&gt;"")*Income!$E$4:$E$303))</f>
        <v/>
      </c>
      <c r="D7" s="10" t="str">
        <f aca="false">IF($A7="","",B7-C7)</f>
        <v/>
      </c>
      <c r="E7" s="26" t="str">
        <f aca="false">IF($A7="","",COUNTIF(Income!$B$4:$B$303,$A7))</f>
        <v/>
      </c>
      <c r="F7" s="27" t="str">
        <f aca="false">IF(OR($A7="",SUM(Income!$E$4:$E$303)=0),"",B7/SUM(Income!$E$4:$E$303))</f>
        <v/>
      </c>
    </row>
    <row r="8" customFormat="false" ht="15" hidden="false" customHeight="false" outlineLevel="0" collapsed="false">
      <c r="A8" s="15"/>
      <c r="B8" s="10" t="str">
        <f aca="false">IF($A8="","",SUMIF(Income!$B$4:$B$303,$A8,Income!$E$4:$E$303))</f>
        <v/>
      </c>
      <c r="C8" s="10" t="str">
        <f aca="false">IF($A8="","",SUMPRODUCT((Income!$B$4:$B$303=$A8)*(Income!$F$4:$F$303&lt;&gt;"")*Income!$E$4:$E$303))</f>
        <v/>
      </c>
      <c r="D8" s="10" t="str">
        <f aca="false">IF($A8="","",B8-C8)</f>
        <v/>
      </c>
      <c r="E8" s="26" t="str">
        <f aca="false">IF($A8="","",COUNTIF(Income!$B$4:$B$303,$A8))</f>
        <v/>
      </c>
      <c r="F8" s="27" t="str">
        <f aca="false">IF(OR($A8="",SUM(Income!$E$4:$E$303)=0),"",B8/SUM(Income!$E$4:$E$303))</f>
        <v/>
      </c>
    </row>
    <row r="9" customFormat="false" ht="15" hidden="false" customHeight="false" outlineLevel="0" collapsed="false">
      <c r="A9" s="15"/>
      <c r="B9" s="10" t="str">
        <f aca="false">IF($A9="","",SUMIF(Income!$B$4:$B$303,$A9,Income!$E$4:$E$303))</f>
        <v/>
      </c>
      <c r="C9" s="10" t="str">
        <f aca="false">IF($A9="","",SUMPRODUCT((Income!$B$4:$B$303=$A9)*(Income!$F$4:$F$303&lt;&gt;"")*Income!$E$4:$E$303))</f>
        <v/>
      </c>
      <c r="D9" s="10" t="str">
        <f aca="false">IF($A9="","",B9-C9)</f>
        <v/>
      </c>
      <c r="E9" s="26" t="str">
        <f aca="false">IF($A9="","",COUNTIF(Income!$B$4:$B$303,$A9))</f>
        <v/>
      </c>
      <c r="F9" s="27" t="str">
        <f aca="false">IF(OR($A9="",SUM(Income!$E$4:$E$303)=0),"",B9/SUM(Income!$E$4:$E$303))</f>
        <v/>
      </c>
    </row>
    <row r="10" customFormat="false" ht="15" hidden="false" customHeight="false" outlineLevel="0" collapsed="false">
      <c r="A10" s="15"/>
      <c r="B10" s="10" t="str">
        <f aca="false">IF($A10="","",SUMIF(Income!$B$4:$B$303,$A10,Income!$E$4:$E$303))</f>
        <v/>
      </c>
      <c r="C10" s="10" t="str">
        <f aca="false">IF($A10="","",SUMPRODUCT((Income!$B$4:$B$303=$A10)*(Income!$F$4:$F$303&lt;&gt;"")*Income!$E$4:$E$303))</f>
        <v/>
      </c>
      <c r="D10" s="10" t="str">
        <f aca="false">IF($A10="","",B10-C10)</f>
        <v/>
      </c>
      <c r="E10" s="26" t="str">
        <f aca="false">IF($A10="","",COUNTIF(Income!$B$4:$B$303,$A10))</f>
        <v/>
      </c>
      <c r="F10" s="27" t="str">
        <f aca="false">IF(OR($A10="",SUM(Income!$E$4:$E$303)=0),"",B10/SUM(Income!$E$4:$E$303))</f>
        <v/>
      </c>
    </row>
    <row r="11" customFormat="false" ht="15" hidden="false" customHeight="false" outlineLevel="0" collapsed="false">
      <c r="A11" s="15"/>
      <c r="B11" s="10" t="str">
        <f aca="false">IF($A11="","",SUMIF(Income!$B$4:$B$303,$A11,Income!$E$4:$E$303))</f>
        <v/>
      </c>
      <c r="C11" s="10" t="str">
        <f aca="false">IF($A11="","",SUMPRODUCT((Income!$B$4:$B$303=$A11)*(Income!$F$4:$F$303&lt;&gt;"")*Income!$E$4:$E$303))</f>
        <v/>
      </c>
      <c r="D11" s="10" t="str">
        <f aca="false">IF($A11="","",B11-C11)</f>
        <v/>
      </c>
      <c r="E11" s="26" t="str">
        <f aca="false">IF($A11="","",COUNTIF(Income!$B$4:$B$303,$A11))</f>
        <v/>
      </c>
      <c r="F11" s="27" t="str">
        <f aca="false">IF(OR($A11="",SUM(Income!$E$4:$E$303)=0),"",B11/SUM(Income!$E$4:$E$303))</f>
        <v/>
      </c>
    </row>
    <row r="12" customFormat="false" ht="15" hidden="false" customHeight="false" outlineLevel="0" collapsed="false">
      <c r="A12" s="15"/>
      <c r="B12" s="10" t="str">
        <f aca="false">IF($A12="","",SUMIF(Income!$B$4:$B$303,$A12,Income!$E$4:$E$303))</f>
        <v/>
      </c>
      <c r="C12" s="10" t="str">
        <f aca="false">IF($A12="","",SUMPRODUCT((Income!$B$4:$B$303=$A12)*(Income!$F$4:$F$303&lt;&gt;"")*Income!$E$4:$E$303))</f>
        <v/>
      </c>
      <c r="D12" s="10" t="str">
        <f aca="false">IF($A12="","",B12-C12)</f>
        <v/>
      </c>
      <c r="E12" s="26" t="str">
        <f aca="false">IF($A12="","",COUNTIF(Income!$B$4:$B$303,$A12))</f>
        <v/>
      </c>
      <c r="F12" s="27" t="str">
        <f aca="false">IF(OR($A12="",SUM(Income!$E$4:$E$303)=0),"",B12/SUM(Income!$E$4:$E$303))</f>
        <v/>
      </c>
    </row>
    <row r="13" customFormat="false" ht="15" hidden="false" customHeight="false" outlineLevel="0" collapsed="false">
      <c r="A13" s="15"/>
      <c r="B13" s="10" t="str">
        <f aca="false">IF($A13="","",SUMIF(Income!$B$4:$B$303,$A13,Income!$E$4:$E$303))</f>
        <v/>
      </c>
      <c r="C13" s="10" t="str">
        <f aca="false">IF($A13="","",SUMPRODUCT((Income!$B$4:$B$303=$A13)*(Income!$F$4:$F$303&lt;&gt;"")*Income!$E$4:$E$303))</f>
        <v/>
      </c>
      <c r="D13" s="10" t="str">
        <f aca="false">IF($A13="","",B13-C13)</f>
        <v/>
      </c>
      <c r="E13" s="26" t="str">
        <f aca="false">IF($A13="","",COUNTIF(Income!$B$4:$B$303,$A13))</f>
        <v/>
      </c>
      <c r="F13" s="27" t="str">
        <f aca="false">IF(OR($A13="",SUM(Income!$E$4:$E$303)=0),"",B13/SUM(Income!$E$4:$E$303))</f>
        <v/>
      </c>
    </row>
    <row r="14" customFormat="false" ht="15" hidden="false" customHeight="false" outlineLevel="0" collapsed="false">
      <c r="A14" s="15"/>
      <c r="B14" s="10" t="str">
        <f aca="false">IF($A14="","",SUMIF(Income!$B$4:$B$303,$A14,Income!$E$4:$E$303))</f>
        <v/>
      </c>
      <c r="C14" s="10" t="str">
        <f aca="false">IF($A14="","",SUMPRODUCT((Income!$B$4:$B$303=$A14)*(Income!$F$4:$F$303&lt;&gt;"")*Income!$E$4:$E$303))</f>
        <v/>
      </c>
      <c r="D14" s="10" t="str">
        <f aca="false">IF($A14="","",B14-C14)</f>
        <v/>
      </c>
      <c r="E14" s="26" t="str">
        <f aca="false">IF($A14="","",COUNTIF(Income!$B$4:$B$303,$A14))</f>
        <v/>
      </c>
      <c r="F14" s="27" t="str">
        <f aca="false">IF(OR($A14="",SUM(Income!$E$4:$E$303)=0),"",B14/SUM(Income!$E$4:$E$303))</f>
        <v/>
      </c>
    </row>
    <row r="15" customFormat="false" ht="15" hidden="false" customHeight="false" outlineLevel="0" collapsed="false">
      <c r="A15" s="15"/>
      <c r="B15" s="10" t="str">
        <f aca="false">IF($A15="","",SUMIF(Income!$B$4:$B$303,$A15,Income!$E$4:$E$303))</f>
        <v/>
      </c>
      <c r="C15" s="10" t="str">
        <f aca="false">IF($A15="","",SUMPRODUCT((Income!$B$4:$B$303=$A15)*(Income!$F$4:$F$303&lt;&gt;"")*Income!$E$4:$E$303))</f>
        <v/>
      </c>
      <c r="D15" s="10" t="str">
        <f aca="false">IF($A15="","",B15-C15)</f>
        <v/>
      </c>
      <c r="E15" s="26" t="str">
        <f aca="false">IF($A15="","",COUNTIF(Income!$B$4:$B$303,$A15))</f>
        <v/>
      </c>
      <c r="F15" s="27" t="str">
        <f aca="false">IF(OR($A15="",SUM(Income!$E$4:$E$303)=0),"",B15/SUM(Income!$E$4:$E$303))</f>
        <v/>
      </c>
    </row>
    <row r="16" customFormat="false" ht="15" hidden="false" customHeight="false" outlineLevel="0" collapsed="false">
      <c r="A16" s="15"/>
      <c r="B16" s="10" t="str">
        <f aca="false">IF($A16="","",SUMIF(Income!$B$4:$B$303,$A16,Income!$E$4:$E$303))</f>
        <v/>
      </c>
      <c r="C16" s="10" t="str">
        <f aca="false">IF($A16="","",SUMPRODUCT((Income!$B$4:$B$303=$A16)*(Income!$F$4:$F$303&lt;&gt;"")*Income!$E$4:$E$303))</f>
        <v/>
      </c>
      <c r="D16" s="10" t="str">
        <f aca="false">IF($A16="","",B16-C16)</f>
        <v/>
      </c>
      <c r="E16" s="26" t="str">
        <f aca="false">IF($A16="","",COUNTIF(Income!$B$4:$B$303,$A16))</f>
        <v/>
      </c>
      <c r="F16" s="27" t="str">
        <f aca="false">IF(OR($A16="",SUM(Income!$E$4:$E$303)=0),"",B16/SUM(Income!$E$4:$E$303))</f>
        <v/>
      </c>
    </row>
    <row r="17" customFormat="false" ht="15" hidden="false" customHeight="false" outlineLevel="0" collapsed="false">
      <c r="A17" s="15"/>
      <c r="B17" s="10" t="str">
        <f aca="false">IF($A17="","",SUMIF(Income!$B$4:$B$303,$A17,Income!$E$4:$E$303))</f>
        <v/>
      </c>
      <c r="C17" s="10" t="str">
        <f aca="false">IF($A17="","",SUMPRODUCT((Income!$B$4:$B$303=$A17)*(Income!$F$4:$F$303&lt;&gt;"")*Income!$E$4:$E$303))</f>
        <v/>
      </c>
      <c r="D17" s="10" t="str">
        <f aca="false">IF($A17="","",B17-C17)</f>
        <v/>
      </c>
      <c r="E17" s="26" t="str">
        <f aca="false">IF($A17="","",COUNTIF(Income!$B$4:$B$303,$A17))</f>
        <v/>
      </c>
      <c r="F17" s="27" t="str">
        <f aca="false">IF(OR($A17="",SUM(Income!$E$4:$E$303)=0),"",B17/SUM(Income!$E$4:$E$303))</f>
        <v/>
      </c>
    </row>
    <row r="18" customFormat="false" ht="15" hidden="false" customHeight="false" outlineLevel="0" collapsed="false">
      <c r="A18" s="15"/>
      <c r="B18" s="10" t="str">
        <f aca="false">IF($A18="","",SUMIF(Income!$B$4:$B$303,$A18,Income!$E$4:$E$303))</f>
        <v/>
      </c>
      <c r="C18" s="10" t="str">
        <f aca="false">IF($A18="","",SUMPRODUCT((Income!$B$4:$B$303=$A18)*(Income!$F$4:$F$303&lt;&gt;"")*Income!$E$4:$E$303))</f>
        <v/>
      </c>
      <c r="D18" s="10" t="str">
        <f aca="false">IF($A18="","",B18-C18)</f>
        <v/>
      </c>
      <c r="E18" s="26" t="str">
        <f aca="false">IF($A18="","",COUNTIF(Income!$B$4:$B$303,$A18))</f>
        <v/>
      </c>
      <c r="F18" s="27" t="str">
        <f aca="false">IF(OR($A18="",SUM(Income!$E$4:$E$303)=0),"",B18/SUM(Income!$E$4:$E$303))</f>
        <v/>
      </c>
    </row>
    <row r="19" customFormat="false" ht="15" hidden="false" customHeight="false" outlineLevel="0" collapsed="false">
      <c r="A19" s="15"/>
      <c r="B19" s="10" t="str">
        <f aca="false">IF($A19="","",SUMIF(Income!$B$4:$B$303,$A19,Income!$E$4:$E$303))</f>
        <v/>
      </c>
      <c r="C19" s="10" t="str">
        <f aca="false">IF($A19="","",SUMPRODUCT((Income!$B$4:$B$303=$A19)*(Income!$F$4:$F$303&lt;&gt;"")*Income!$E$4:$E$303))</f>
        <v/>
      </c>
      <c r="D19" s="10" t="str">
        <f aca="false">IF($A19="","",B19-C19)</f>
        <v/>
      </c>
      <c r="E19" s="26" t="str">
        <f aca="false">IF($A19="","",COUNTIF(Income!$B$4:$B$303,$A19))</f>
        <v/>
      </c>
      <c r="F19" s="27" t="str">
        <f aca="false">IF(OR($A19="",SUM(Income!$E$4:$E$303)=0),"",B19/SUM(Income!$E$4:$E$303))</f>
        <v/>
      </c>
    </row>
    <row r="20" customFormat="false" ht="15" hidden="false" customHeight="false" outlineLevel="0" collapsed="false">
      <c r="A20" s="15"/>
      <c r="B20" s="10" t="str">
        <f aca="false">IF($A20="","",SUMIF(Income!$B$4:$B$303,$A20,Income!$E$4:$E$303))</f>
        <v/>
      </c>
      <c r="C20" s="10" t="str">
        <f aca="false">IF($A20="","",SUMPRODUCT((Income!$B$4:$B$303=$A20)*(Income!$F$4:$F$303&lt;&gt;"")*Income!$E$4:$E$303))</f>
        <v/>
      </c>
      <c r="D20" s="10" t="str">
        <f aca="false">IF($A20="","",B20-C20)</f>
        <v/>
      </c>
      <c r="E20" s="26" t="str">
        <f aca="false">IF($A20="","",COUNTIF(Income!$B$4:$B$303,$A20))</f>
        <v/>
      </c>
      <c r="F20" s="27" t="str">
        <f aca="false">IF(OR($A20="",SUM(Income!$E$4:$E$303)=0),"",B20/SUM(Income!$E$4:$E$303))</f>
        <v/>
      </c>
    </row>
    <row r="21" customFormat="false" ht="15" hidden="false" customHeight="false" outlineLevel="0" collapsed="false">
      <c r="A21" s="15"/>
      <c r="B21" s="10" t="str">
        <f aca="false">IF($A21="","",SUMIF(Income!$B$4:$B$303,$A21,Income!$E$4:$E$303))</f>
        <v/>
      </c>
      <c r="C21" s="10" t="str">
        <f aca="false">IF($A21="","",SUMPRODUCT((Income!$B$4:$B$303=$A21)*(Income!$F$4:$F$303&lt;&gt;"")*Income!$E$4:$E$303))</f>
        <v/>
      </c>
      <c r="D21" s="10" t="str">
        <f aca="false">IF($A21="","",B21-C21)</f>
        <v/>
      </c>
      <c r="E21" s="26" t="str">
        <f aca="false">IF($A21="","",COUNTIF(Income!$B$4:$B$303,$A21))</f>
        <v/>
      </c>
      <c r="F21" s="27" t="str">
        <f aca="false">IF(OR($A21="",SUM(Income!$E$4:$E$303)=0),"",B21/SUM(Income!$E$4:$E$303))</f>
        <v/>
      </c>
    </row>
    <row r="22" customFormat="false" ht="15" hidden="false" customHeight="false" outlineLevel="0" collapsed="false">
      <c r="A22" s="15"/>
      <c r="B22" s="10" t="str">
        <f aca="false">IF($A22="","",SUMIF(Income!$B$4:$B$303,$A22,Income!$E$4:$E$303))</f>
        <v/>
      </c>
      <c r="C22" s="10" t="str">
        <f aca="false">IF($A22="","",SUMPRODUCT((Income!$B$4:$B$303=$A22)*(Income!$F$4:$F$303&lt;&gt;"")*Income!$E$4:$E$303))</f>
        <v/>
      </c>
      <c r="D22" s="10" t="str">
        <f aca="false">IF($A22="","",B22-C22)</f>
        <v/>
      </c>
      <c r="E22" s="26" t="str">
        <f aca="false">IF($A22="","",COUNTIF(Income!$B$4:$B$303,$A22))</f>
        <v/>
      </c>
      <c r="F22" s="27" t="str">
        <f aca="false">IF(OR($A22="",SUM(Income!$E$4:$E$303)=0),"",B22/SUM(Income!$E$4:$E$303))</f>
        <v/>
      </c>
    </row>
    <row r="23" customFormat="false" ht="15" hidden="false" customHeight="false" outlineLevel="0" collapsed="false">
      <c r="A23" s="15"/>
      <c r="B23" s="10" t="str">
        <f aca="false">IF($A23="","",SUMIF(Income!$B$4:$B$303,$A23,Income!$E$4:$E$303))</f>
        <v/>
      </c>
      <c r="C23" s="10" t="str">
        <f aca="false">IF($A23="","",SUMPRODUCT((Income!$B$4:$B$303=$A23)*(Income!$F$4:$F$303&lt;&gt;"")*Income!$E$4:$E$303))</f>
        <v/>
      </c>
      <c r="D23" s="10" t="str">
        <f aca="false">IF($A23="","",B23-C23)</f>
        <v/>
      </c>
      <c r="E23" s="26" t="str">
        <f aca="false">IF($A23="","",COUNTIF(Income!$B$4:$B$303,$A23))</f>
        <v/>
      </c>
      <c r="F23" s="27" t="str">
        <f aca="false">IF(OR($A23="",SUM(Income!$E$4:$E$303)=0),"",B23/SUM(Income!$E$4:$E$303))</f>
        <v/>
      </c>
    </row>
    <row r="24" customFormat="false" ht="15" hidden="false" customHeight="false" outlineLevel="0" collapsed="false">
      <c r="A24" s="15"/>
      <c r="B24" s="10" t="str">
        <f aca="false">IF($A24="","",SUMIF(Income!$B$4:$B$303,$A24,Income!$E$4:$E$303))</f>
        <v/>
      </c>
      <c r="C24" s="10" t="str">
        <f aca="false">IF($A24="","",SUMPRODUCT((Income!$B$4:$B$303=$A24)*(Income!$F$4:$F$303&lt;&gt;"")*Income!$E$4:$E$303))</f>
        <v/>
      </c>
      <c r="D24" s="10" t="str">
        <f aca="false">IF($A24="","",B24-C24)</f>
        <v/>
      </c>
      <c r="E24" s="26" t="str">
        <f aca="false">IF($A24="","",COUNTIF(Income!$B$4:$B$303,$A24))</f>
        <v/>
      </c>
      <c r="F24" s="27" t="str">
        <f aca="false">IF(OR($A24="",SUM(Income!$E$4:$E$303)=0),"",B24/SUM(Income!$E$4:$E$303))</f>
        <v/>
      </c>
    </row>
    <row r="25" customFormat="false" ht="15" hidden="false" customHeight="false" outlineLevel="0" collapsed="false">
      <c r="A25" s="15"/>
      <c r="B25" s="10" t="str">
        <f aca="false">IF($A25="","",SUMIF(Income!$B$4:$B$303,$A25,Income!$E$4:$E$303))</f>
        <v/>
      </c>
      <c r="C25" s="10" t="str">
        <f aca="false">IF($A25="","",SUMPRODUCT((Income!$B$4:$B$303=$A25)*(Income!$F$4:$F$303&lt;&gt;"")*Income!$E$4:$E$303))</f>
        <v/>
      </c>
      <c r="D25" s="10" t="str">
        <f aca="false">IF($A25="","",B25-C25)</f>
        <v/>
      </c>
      <c r="E25" s="26" t="str">
        <f aca="false">IF($A25="","",COUNTIF(Income!$B$4:$B$303,$A25))</f>
        <v/>
      </c>
      <c r="F25" s="27" t="str">
        <f aca="false">IF(OR($A25="",SUM(Income!$E$4:$E$303)=0),"",B25/SUM(Income!$E$4:$E$303))</f>
        <v/>
      </c>
    </row>
    <row r="26" customFormat="false" ht="15" hidden="false" customHeight="false" outlineLevel="0" collapsed="false">
      <c r="A26" s="15"/>
      <c r="B26" s="10" t="str">
        <f aca="false">IF($A26="","",SUMIF(Income!$B$4:$B$303,$A26,Income!$E$4:$E$303))</f>
        <v/>
      </c>
      <c r="C26" s="10" t="str">
        <f aca="false">IF($A26="","",SUMPRODUCT((Income!$B$4:$B$303=$A26)*(Income!$F$4:$F$303&lt;&gt;"")*Income!$E$4:$E$303))</f>
        <v/>
      </c>
      <c r="D26" s="10" t="str">
        <f aca="false">IF($A26="","",B26-C26)</f>
        <v/>
      </c>
      <c r="E26" s="26" t="str">
        <f aca="false">IF($A26="","",COUNTIF(Income!$B$4:$B$303,$A26))</f>
        <v/>
      </c>
      <c r="F26" s="27" t="str">
        <f aca="false">IF(OR($A26="",SUM(Income!$E$4:$E$303)=0),"",B26/SUM(Income!$E$4:$E$303))</f>
        <v/>
      </c>
    </row>
    <row r="27" customFormat="false" ht="15" hidden="false" customHeight="false" outlineLevel="0" collapsed="false">
      <c r="A27" s="15"/>
      <c r="B27" s="10" t="str">
        <f aca="false">IF($A27="","",SUMIF(Income!$B$4:$B$303,$A27,Income!$E$4:$E$303))</f>
        <v/>
      </c>
      <c r="C27" s="10" t="str">
        <f aca="false">IF($A27="","",SUMPRODUCT((Income!$B$4:$B$303=$A27)*(Income!$F$4:$F$303&lt;&gt;"")*Income!$E$4:$E$303))</f>
        <v/>
      </c>
      <c r="D27" s="10" t="str">
        <f aca="false">IF($A27="","",B27-C27)</f>
        <v/>
      </c>
      <c r="E27" s="26" t="str">
        <f aca="false">IF($A27="","",COUNTIF(Income!$B$4:$B$303,$A27))</f>
        <v/>
      </c>
      <c r="F27" s="27" t="str">
        <f aca="false">IF(OR($A27="",SUM(Income!$E$4:$E$303)=0),"",B27/SUM(Income!$E$4:$E$303))</f>
        <v/>
      </c>
    </row>
    <row r="28" customFormat="false" ht="15" hidden="false" customHeight="false" outlineLevel="0" collapsed="false">
      <c r="A28" s="15"/>
      <c r="B28" s="10" t="str">
        <f aca="false">IF($A28="","",SUMIF(Income!$B$4:$B$303,$A28,Income!$E$4:$E$303))</f>
        <v/>
      </c>
      <c r="C28" s="10" t="str">
        <f aca="false">IF($A28="","",SUMPRODUCT((Income!$B$4:$B$303=$A28)*(Income!$F$4:$F$303&lt;&gt;"")*Income!$E$4:$E$303))</f>
        <v/>
      </c>
      <c r="D28" s="10" t="str">
        <f aca="false">IF($A28="","",B28-C28)</f>
        <v/>
      </c>
      <c r="E28" s="26" t="str">
        <f aca="false">IF($A28="","",COUNTIF(Income!$B$4:$B$303,$A28))</f>
        <v/>
      </c>
      <c r="F28" s="27" t="str">
        <f aca="false">IF(OR($A28="",SUM(Income!$E$4:$E$303)=0),"",B28/SUM(Income!$E$4:$E$303))</f>
        <v/>
      </c>
    </row>
    <row r="29" customFormat="false" ht="15" hidden="false" customHeight="false" outlineLevel="0" collapsed="false">
      <c r="A29" s="15"/>
      <c r="B29" s="10" t="str">
        <f aca="false">IF($A29="","",SUMIF(Income!$B$4:$B$303,$A29,Income!$E$4:$E$303))</f>
        <v/>
      </c>
      <c r="C29" s="10" t="str">
        <f aca="false">IF($A29="","",SUMPRODUCT((Income!$B$4:$B$303=$A29)*(Income!$F$4:$F$303&lt;&gt;"")*Income!$E$4:$E$303))</f>
        <v/>
      </c>
      <c r="D29" s="10" t="str">
        <f aca="false">IF($A29="","",B29-C29)</f>
        <v/>
      </c>
      <c r="E29" s="26" t="str">
        <f aca="false">IF($A29="","",COUNTIF(Income!$B$4:$B$303,$A29))</f>
        <v/>
      </c>
      <c r="F29" s="27" t="str">
        <f aca="false">IF(OR($A29="",SUM(Income!$E$4:$E$303)=0),"",B29/SUM(Income!$E$4:$E$303))</f>
        <v/>
      </c>
    </row>
    <row r="30" customFormat="false" ht="15" hidden="false" customHeight="false" outlineLevel="0" collapsed="false">
      <c r="A30" s="15"/>
      <c r="B30" s="10" t="str">
        <f aca="false">IF($A30="","",SUMIF(Income!$B$4:$B$303,$A30,Income!$E$4:$E$303))</f>
        <v/>
      </c>
      <c r="C30" s="10" t="str">
        <f aca="false">IF($A30="","",SUMPRODUCT((Income!$B$4:$B$303=$A30)*(Income!$F$4:$F$303&lt;&gt;"")*Income!$E$4:$E$303))</f>
        <v/>
      </c>
      <c r="D30" s="10" t="str">
        <f aca="false">IF($A30="","",B30-C30)</f>
        <v/>
      </c>
      <c r="E30" s="26" t="str">
        <f aca="false">IF($A30="","",COUNTIF(Income!$B$4:$B$303,$A30))</f>
        <v/>
      </c>
      <c r="F30" s="27" t="str">
        <f aca="false">IF(OR($A30="",SUM(Income!$E$4:$E$303)=0),"",B30/SUM(Income!$E$4:$E$303))</f>
        <v/>
      </c>
    </row>
    <row r="31" customFormat="false" ht="15" hidden="false" customHeight="false" outlineLevel="0" collapsed="false">
      <c r="A31" s="15"/>
      <c r="B31" s="10" t="str">
        <f aca="false">IF($A31="","",SUMIF(Income!$B$4:$B$303,$A31,Income!$E$4:$E$303))</f>
        <v/>
      </c>
      <c r="C31" s="10" t="str">
        <f aca="false">IF($A31="","",SUMPRODUCT((Income!$B$4:$B$303=$A31)*(Income!$F$4:$F$303&lt;&gt;"")*Income!$E$4:$E$303))</f>
        <v/>
      </c>
      <c r="D31" s="10" t="str">
        <f aca="false">IF($A31="","",B31-C31)</f>
        <v/>
      </c>
      <c r="E31" s="26" t="str">
        <f aca="false">IF($A31="","",COUNTIF(Income!$B$4:$B$303,$A31))</f>
        <v/>
      </c>
      <c r="F31" s="27" t="str">
        <f aca="false">IF(OR($A31="",SUM(Income!$E$4:$E$303)=0),"",B31/SUM(Income!$E$4:$E$303))</f>
        <v/>
      </c>
    </row>
    <row r="32" customFormat="false" ht="15" hidden="false" customHeight="false" outlineLevel="0" collapsed="false">
      <c r="A32" s="15"/>
      <c r="B32" s="10" t="str">
        <f aca="false">IF($A32="","",SUMIF(Income!$B$4:$B$303,$A32,Income!$E$4:$E$303))</f>
        <v/>
      </c>
      <c r="C32" s="10" t="str">
        <f aca="false">IF($A32="","",SUMPRODUCT((Income!$B$4:$B$303=$A32)*(Income!$F$4:$F$303&lt;&gt;"")*Income!$E$4:$E$303))</f>
        <v/>
      </c>
      <c r="D32" s="10" t="str">
        <f aca="false">IF($A32="","",B32-C32)</f>
        <v/>
      </c>
      <c r="E32" s="26" t="str">
        <f aca="false">IF($A32="","",COUNTIF(Income!$B$4:$B$303,$A32))</f>
        <v/>
      </c>
      <c r="F32" s="27" t="str">
        <f aca="false">IF(OR($A32="",SUM(Income!$E$4:$E$303)=0),"",B32/SUM(Income!$E$4:$E$303))</f>
        <v/>
      </c>
    </row>
    <row r="33" customFormat="false" ht="15" hidden="false" customHeight="false" outlineLevel="0" collapsed="false">
      <c r="A33" s="15"/>
      <c r="B33" s="10" t="str">
        <f aca="false">IF($A33="","",SUMIF(Income!$B$4:$B$303,$A33,Income!$E$4:$E$303))</f>
        <v/>
      </c>
      <c r="C33" s="10" t="str">
        <f aca="false">IF($A33="","",SUMPRODUCT((Income!$B$4:$B$303=$A33)*(Income!$F$4:$F$303&lt;&gt;"")*Income!$E$4:$E$303))</f>
        <v/>
      </c>
      <c r="D33" s="10" t="str">
        <f aca="false">IF($A33="","",B33-C33)</f>
        <v/>
      </c>
      <c r="E33" s="26" t="str">
        <f aca="false">IF($A33="","",COUNTIF(Income!$B$4:$B$303,$A33))</f>
        <v/>
      </c>
      <c r="F33" s="27" t="str">
        <f aca="false">IF(OR($A33="",SUM(Income!$E$4:$E$303)=0),"",B33/SUM(Income!$E$4:$E$303))</f>
        <v/>
      </c>
    </row>
  </sheetData>
  <mergeCells count="1">
    <mergeCell ref="A1:F1"/>
  </mergeCells>
  <conditionalFormatting sqref="B4:B33">
    <cfRule type="dataBar" priority="2">
      <dataBar showValue="1" minLength="10" maxLength="90">
        <cfvo type="min" val="0"/>
        <cfvo type="max" val="0"/>
        <color rgb="FF2E5C8A"/>
      </dataBar>
      <extLst>
        <ext xmlns:x14="http://schemas.microsoft.com/office/spreadsheetml/2009/9/main" uri="{B025F937-C7B1-47D3-B67F-A62EFF666E3E}">
          <x14:id>{ADA020C3-BD1F-48BD-9718-BDB56446CC68}</x14:id>
        </ext>
      </extLst>
    </cfRule>
  </conditionalFormatting>
  <conditionalFormatting sqref="D4:D33">
    <cfRule type="cellIs" priority="3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A020C3-BD1F-48BD-9718-BDB56446CC68}">
            <x14:dataBar minLength="10" maxLength="90" axisPosition="none" gradient="true">
              <x14:cfvo type="min"/>
              <x14:cfvo type="max"/>
              <x14:negativeFillColor rgb="FF2E5C8A"/>
              <x14:axisColor rgb="FF000000"/>
            </x14:dataBar>
          </x14:cfRule>
          <xm:sqref>B4:B33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2026-08-10T21:41:11Z</dcterms:created>
  <dc:creator>openpyxl</dc:creator>
  <dc:description/>
  <dc:language>en-US</dc:language>
  <cp:lastModifiedBy/>
  <dcterms:modified xsi:type="dcterms:W3CDTF">2026-08-10T23:42:07Z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